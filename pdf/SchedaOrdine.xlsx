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nedettini\2025\PupdP ed 11-25\"/>
    </mc:Choice>
  </mc:AlternateContent>
  <xr:revisionPtr revIDLastSave="0" documentId="13_ncr:1_{06D0B04E-F65A-49F1-A1F6-9CE77956D225}" xr6:coauthVersionLast="47" xr6:coauthVersionMax="47" xr10:uidLastSave="{00000000-0000-0000-0000-000000000000}"/>
  <bookViews>
    <workbookView xWindow="-120" yWindow="-120" windowWidth="19440" windowHeight="10320" activeTab="2" xr2:uid="{00000000-000D-0000-FFFF-FFFF00000000}"/>
  </bookViews>
  <sheets>
    <sheet name="ITA" sheetId="2" r:id="rId1"/>
    <sheet name="ENG" sheetId="3" r:id="rId2"/>
    <sheet name="FR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5" i="5" l="1"/>
  <c r="R75" i="5" s="1"/>
  <c r="K75" i="5"/>
  <c r="Q74" i="5"/>
  <c r="R74" i="5" s="1"/>
  <c r="K74" i="5"/>
  <c r="Q73" i="5"/>
  <c r="R73" i="5" s="1"/>
  <c r="K73" i="5"/>
  <c r="Q57" i="5"/>
  <c r="R57" i="5" s="1"/>
  <c r="K57" i="5"/>
  <c r="Q56" i="5"/>
  <c r="R56" i="5" s="1"/>
  <c r="K56" i="5"/>
  <c r="Q55" i="5"/>
  <c r="R55" i="5" s="1"/>
  <c r="K55" i="5"/>
  <c r="Q54" i="5"/>
  <c r="R54" i="5" s="1"/>
  <c r="K54" i="5"/>
  <c r="Q53" i="5"/>
  <c r="R53" i="5" s="1"/>
  <c r="K53" i="5"/>
  <c r="Q52" i="5"/>
  <c r="R52" i="5" s="1"/>
  <c r="K52" i="5"/>
  <c r="Q33" i="5"/>
  <c r="R33" i="5" s="1"/>
  <c r="K33" i="5"/>
  <c r="Q32" i="5"/>
  <c r="R32" i="5" s="1"/>
  <c r="K32" i="5"/>
  <c r="Q31" i="5"/>
  <c r="R31" i="5" s="1"/>
  <c r="K31" i="5"/>
  <c r="Q75" i="3"/>
  <c r="R75" i="3" s="1"/>
  <c r="K75" i="3"/>
  <c r="Q74" i="3"/>
  <c r="R74" i="3" s="1"/>
  <c r="K74" i="3"/>
  <c r="Q73" i="3"/>
  <c r="R73" i="3" s="1"/>
  <c r="K73" i="3"/>
  <c r="Q57" i="3"/>
  <c r="R57" i="3" s="1"/>
  <c r="K57" i="3"/>
  <c r="Q56" i="3"/>
  <c r="R56" i="3" s="1"/>
  <c r="K56" i="3"/>
  <c r="Q55" i="3"/>
  <c r="R55" i="3" s="1"/>
  <c r="K55" i="3"/>
  <c r="Q54" i="3"/>
  <c r="R54" i="3" s="1"/>
  <c r="K54" i="3"/>
  <c r="Q53" i="3"/>
  <c r="R53" i="3" s="1"/>
  <c r="K53" i="3"/>
  <c r="Q52" i="3"/>
  <c r="R52" i="3" s="1"/>
  <c r="K52" i="3"/>
  <c r="Q33" i="3"/>
  <c r="R33" i="3" s="1"/>
  <c r="K33" i="3"/>
  <c r="Q32" i="3"/>
  <c r="R32" i="3" s="1"/>
  <c r="K32" i="3"/>
  <c r="Q31" i="3"/>
  <c r="R31" i="3" s="1"/>
  <c r="K31" i="3"/>
  <c r="Q75" i="2"/>
  <c r="R75" i="2" s="1"/>
  <c r="K75" i="2"/>
  <c r="Q74" i="2"/>
  <c r="R74" i="2" s="1"/>
  <c r="K74" i="2"/>
  <c r="Q73" i="2"/>
  <c r="R73" i="2" s="1"/>
  <c r="K73" i="2"/>
  <c r="Q57" i="2"/>
  <c r="R57" i="2" s="1"/>
  <c r="K57" i="2"/>
  <c r="Q56" i="2"/>
  <c r="R56" i="2" s="1"/>
  <c r="K56" i="2"/>
  <c r="Q55" i="2"/>
  <c r="R55" i="2" s="1"/>
  <c r="K55" i="2"/>
  <c r="Q54" i="2"/>
  <c r="R54" i="2" s="1"/>
  <c r="K54" i="2"/>
  <c r="Q53" i="2"/>
  <c r="R53" i="2" s="1"/>
  <c r="K53" i="2"/>
  <c r="Q52" i="2"/>
  <c r="R52" i="2" s="1"/>
  <c r="K52" i="2"/>
  <c r="Q33" i="2"/>
  <c r="R33" i="2" s="1"/>
  <c r="K33" i="2" s="1"/>
  <c r="Q32" i="2"/>
  <c r="R32" i="2" s="1"/>
  <c r="K32" i="2" s="1"/>
  <c r="Q31" i="2"/>
  <c r="R31" i="2"/>
  <c r="K31" i="2" s="1"/>
  <c r="I192" i="5"/>
  <c r="I20" i="5" s="1"/>
  <c r="K189" i="5"/>
  <c r="K188" i="5"/>
  <c r="K184" i="5"/>
  <c r="K183" i="5"/>
  <c r="K179" i="5"/>
  <c r="K178" i="5"/>
  <c r="K177" i="5"/>
  <c r="K173" i="5"/>
  <c r="K172" i="5"/>
  <c r="K171" i="5"/>
  <c r="K167" i="5"/>
  <c r="K166" i="5"/>
  <c r="K162" i="5"/>
  <c r="K161" i="5"/>
  <c r="K157" i="5"/>
  <c r="K156" i="5"/>
  <c r="K152" i="5"/>
  <c r="K151" i="5"/>
  <c r="K150" i="5"/>
  <c r="K146" i="5"/>
  <c r="K145" i="5"/>
  <c r="K141" i="5"/>
  <c r="K140" i="5"/>
  <c r="K139" i="5"/>
  <c r="K135" i="5"/>
  <c r="K134" i="5"/>
  <c r="K133" i="5"/>
  <c r="K132" i="5"/>
  <c r="K131" i="5"/>
  <c r="K127" i="5"/>
  <c r="K126" i="5"/>
  <c r="K125" i="5"/>
  <c r="K124" i="5"/>
  <c r="K123" i="5"/>
  <c r="K122" i="5"/>
  <c r="K121" i="5"/>
  <c r="K120" i="5"/>
  <c r="K116" i="5"/>
  <c r="K115" i="5"/>
  <c r="K111" i="5"/>
  <c r="K110" i="5"/>
  <c r="K109" i="5"/>
  <c r="K108" i="5"/>
  <c r="K107" i="5"/>
  <c r="K106" i="5"/>
  <c r="K105" i="5"/>
  <c r="K101" i="5"/>
  <c r="K100" i="5"/>
  <c r="K99" i="5"/>
  <c r="K95" i="5"/>
  <c r="K94" i="5"/>
  <c r="K93" i="5"/>
  <c r="K92" i="5"/>
  <c r="K91" i="5"/>
  <c r="K90" i="5"/>
  <c r="K86" i="5"/>
  <c r="K85" i="5"/>
  <c r="K84" i="5"/>
  <c r="K83" i="5"/>
  <c r="K82" i="5"/>
  <c r="K81" i="5"/>
  <c r="K80" i="5"/>
  <c r="K79" i="5"/>
  <c r="K69" i="5"/>
  <c r="K68" i="5"/>
  <c r="K64" i="5"/>
  <c r="K63" i="5"/>
  <c r="K62" i="5"/>
  <c r="K61" i="5"/>
  <c r="K48" i="5"/>
  <c r="K47" i="5"/>
  <c r="K46" i="5"/>
  <c r="K45" i="5"/>
  <c r="K44" i="5"/>
  <c r="K40" i="5"/>
  <c r="K39" i="5"/>
  <c r="K38" i="5"/>
  <c r="K37" i="5"/>
  <c r="K27" i="5"/>
  <c r="K26" i="5"/>
  <c r="K25" i="5"/>
  <c r="K24" i="5"/>
  <c r="K192" i="5" s="1"/>
  <c r="K20" i="5" s="1"/>
  <c r="I192" i="3"/>
  <c r="I20" i="3" s="1"/>
  <c r="K189" i="3"/>
  <c r="K188" i="3"/>
  <c r="K184" i="3"/>
  <c r="K183" i="3"/>
  <c r="K179" i="3"/>
  <c r="K178" i="3"/>
  <c r="K177" i="3"/>
  <c r="K173" i="3"/>
  <c r="K172" i="3"/>
  <c r="K171" i="3"/>
  <c r="K167" i="3"/>
  <c r="K166" i="3"/>
  <c r="K162" i="3"/>
  <c r="K161" i="3"/>
  <c r="K157" i="3"/>
  <c r="K156" i="3"/>
  <c r="K152" i="3"/>
  <c r="K151" i="3"/>
  <c r="K150" i="3"/>
  <c r="K146" i="3"/>
  <c r="K145" i="3"/>
  <c r="K141" i="3"/>
  <c r="K140" i="3"/>
  <c r="K139" i="3"/>
  <c r="K135" i="3"/>
  <c r="K134" i="3"/>
  <c r="K133" i="3"/>
  <c r="K132" i="3"/>
  <c r="K131" i="3"/>
  <c r="K127" i="3"/>
  <c r="K126" i="3"/>
  <c r="K125" i="3"/>
  <c r="K124" i="3"/>
  <c r="K123" i="3"/>
  <c r="K122" i="3"/>
  <c r="K121" i="3"/>
  <c r="K120" i="3"/>
  <c r="K116" i="3"/>
  <c r="K115" i="3"/>
  <c r="K111" i="3"/>
  <c r="K110" i="3"/>
  <c r="K109" i="3"/>
  <c r="K108" i="3"/>
  <c r="K107" i="3"/>
  <c r="K106" i="3"/>
  <c r="K105" i="3"/>
  <c r="K101" i="3"/>
  <c r="K100" i="3"/>
  <c r="K99" i="3"/>
  <c r="K95" i="3"/>
  <c r="K94" i="3"/>
  <c r="K93" i="3"/>
  <c r="K92" i="3"/>
  <c r="K91" i="3"/>
  <c r="K90" i="3"/>
  <c r="K86" i="3"/>
  <c r="K85" i="3"/>
  <c r="K84" i="3"/>
  <c r="K83" i="3"/>
  <c r="K82" i="3"/>
  <c r="K81" i="3"/>
  <c r="K80" i="3"/>
  <c r="K79" i="3"/>
  <c r="K69" i="3"/>
  <c r="K68" i="3"/>
  <c r="K64" i="3"/>
  <c r="K63" i="3"/>
  <c r="K62" i="3"/>
  <c r="K61" i="3"/>
  <c r="K48" i="3"/>
  <c r="K47" i="3"/>
  <c r="K46" i="3"/>
  <c r="K45" i="3"/>
  <c r="K44" i="3"/>
  <c r="K40" i="3"/>
  <c r="K39" i="3"/>
  <c r="K38" i="3"/>
  <c r="K37" i="3"/>
  <c r="K27" i="3"/>
  <c r="K26" i="3"/>
  <c r="K25" i="3"/>
  <c r="K24" i="3"/>
  <c r="I192" i="2"/>
  <c r="K189" i="2"/>
  <c r="K188" i="2"/>
  <c r="K184" i="2"/>
  <c r="K183" i="2"/>
  <c r="K179" i="2"/>
  <c r="K178" i="2"/>
  <c r="K177" i="2"/>
  <c r="K173" i="2"/>
  <c r="K172" i="2"/>
  <c r="K171" i="2"/>
  <c r="K167" i="2"/>
  <c r="K166" i="2"/>
  <c r="K162" i="2"/>
  <c r="K161" i="2"/>
  <c r="K157" i="2"/>
  <c r="K156" i="2"/>
  <c r="K152" i="2"/>
  <c r="K151" i="2"/>
  <c r="K150" i="2"/>
  <c r="K146" i="2"/>
  <c r="K145" i="2"/>
  <c r="K141" i="2"/>
  <c r="K140" i="2"/>
  <c r="K139" i="2"/>
  <c r="K131" i="2"/>
  <c r="K135" i="2"/>
  <c r="K134" i="2"/>
  <c r="K133" i="2"/>
  <c r="K132" i="2"/>
  <c r="K120" i="2"/>
  <c r="K127" i="2"/>
  <c r="K126" i="2"/>
  <c r="K125" i="2"/>
  <c r="K124" i="2"/>
  <c r="K123" i="2"/>
  <c r="K122" i="2"/>
  <c r="K121" i="2"/>
  <c r="K116" i="2"/>
  <c r="K115" i="2"/>
  <c r="K111" i="2"/>
  <c r="K110" i="2"/>
  <c r="K109" i="2"/>
  <c r="K108" i="2"/>
  <c r="K107" i="2"/>
  <c r="K106" i="2"/>
  <c r="K105" i="2"/>
  <c r="K101" i="2"/>
  <c r="K100" i="2"/>
  <c r="K99" i="2"/>
  <c r="K95" i="2"/>
  <c r="K94" i="2"/>
  <c r="K93" i="2"/>
  <c r="K92" i="2"/>
  <c r="K91" i="2"/>
  <c r="K90" i="2"/>
  <c r="K86" i="2"/>
  <c r="K85" i="2"/>
  <c r="K84" i="2"/>
  <c r="K83" i="2"/>
  <c r="K82" i="2"/>
  <c r="K81" i="2"/>
  <c r="K80" i="2"/>
  <c r="K79" i="2"/>
  <c r="K69" i="2"/>
  <c r="K68" i="2"/>
  <c r="K64" i="2"/>
  <c r="K63" i="2"/>
  <c r="K62" i="2"/>
  <c r="K61" i="2"/>
  <c r="K48" i="2"/>
  <c r="K47" i="2"/>
  <c r="K46" i="2"/>
  <c r="K45" i="2"/>
  <c r="K44" i="2"/>
  <c r="K37" i="2"/>
  <c r="K38" i="2"/>
  <c r="K39" i="2"/>
  <c r="K40" i="2"/>
  <c r="K27" i="2"/>
  <c r="K26" i="2"/>
  <c r="K25" i="2"/>
  <c r="K24" i="2"/>
  <c r="K192" i="3" l="1"/>
  <c r="K20" i="3" s="1"/>
  <c r="K192" i="2"/>
  <c r="I20" i="2"/>
  <c r="K20" i="2" l="1"/>
</calcChain>
</file>

<file path=xl/sharedStrings.xml><?xml version="1.0" encoding="utf-8"?>
<sst xmlns="http://schemas.openxmlformats.org/spreadsheetml/2006/main" count="1598" uniqueCount="427">
  <si>
    <t>0,75L</t>
  </si>
  <si>
    <t xml:space="preserve"> </t>
  </si>
  <si>
    <t xml:space="preserve">33cl. </t>
  </si>
  <si>
    <t>Rossa</t>
  </si>
  <si>
    <t xml:space="preserve">Blanche </t>
  </si>
  <si>
    <t xml:space="preserve">Bionda </t>
  </si>
  <si>
    <t>Chiara</t>
  </si>
  <si>
    <t>Aglio e Peperoncino</t>
  </si>
  <si>
    <t>Menta</t>
  </si>
  <si>
    <t>Arancia</t>
  </si>
  <si>
    <t>Basilico</t>
  </si>
  <si>
    <t>ABBOCCATA</t>
  </si>
  <si>
    <t>GIARA</t>
  </si>
  <si>
    <t>MARGOSE</t>
  </si>
  <si>
    <t>LINFA (gluten free)</t>
  </si>
  <si>
    <t>220gr</t>
  </si>
  <si>
    <t xml:space="preserve">Maioliche Primitivo </t>
  </si>
  <si>
    <t xml:space="preserve">Maioliche Nero di Troia </t>
  </si>
  <si>
    <t xml:space="preserve">Maioliche Falanghina </t>
  </si>
  <si>
    <t>BIO</t>
  </si>
  <si>
    <t>con Acqua Marina</t>
  </si>
  <si>
    <t>250gr</t>
  </si>
  <si>
    <t>0,25L</t>
  </si>
  <si>
    <t>Doppio malto</t>
  </si>
  <si>
    <t>COD</t>
  </si>
  <si>
    <t xml:space="preserve">VINI Tenuta Viglione -BIO- Santeramo in Colle (BA) Apulia </t>
  </si>
  <si>
    <t>I.G.P. 13% Rosso</t>
  </si>
  <si>
    <t>I.G.P. 12,5% Bianco</t>
  </si>
  <si>
    <t xml:space="preserve">BENEDETTINO Malvasia </t>
  </si>
  <si>
    <t xml:space="preserve">BENEDETTINO Primitivo </t>
  </si>
  <si>
    <t>VINI Borghi di Puglia - Leverano (LE) Apulia</t>
  </si>
  <si>
    <t>I.G.T. 13,5% Rosso</t>
  </si>
  <si>
    <t>Le POSTE Susumaniello</t>
  </si>
  <si>
    <t xml:space="preserve">I.G.T. 12,5% Rosato </t>
  </si>
  <si>
    <t>I.G.T. 12% Bianco</t>
  </si>
  <si>
    <t>T1</t>
  </si>
  <si>
    <t>T2</t>
  </si>
  <si>
    <t>T3</t>
  </si>
  <si>
    <t>T4</t>
  </si>
  <si>
    <t xml:space="preserve">Olio ExtraVergineOliva </t>
  </si>
  <si>
    <t xml:space="preserve">0,5L </t>
  </si>
  <si>
    <t>Bottiglia</t>
  </si>
  <si>
    <t>Latta</t>
  </si>
  <si>
    <t>Az Agricola Olivicola Del Vecchio - Rutigliano (BA) - Apulia</t>
  </si>
  <si>
    <t>Totale Ordine</t>
  </si>
  <si>
    <t>Le Ferre - OLIO EVO Aromatizzati - Castellaneta (TA) - Apulia</t>
  </si>
  <si>
    <t>Limone</t>
  </si>
  <si>
    <t>Pepe Nero</t>
  </si>
  <si>
    <t>Olio ExtraVergineOliva</t>
  </si>
  <si>
    <t>N1</t>
  </si>
  <si>
    <t>N2</t>
  </si>
  <si>
    <t>N3</t>
  </si>
  <si>
    <t>N4</t>
  </si>
  <si>
    <t xml:space="preserve">VINI Puglia Pop - Martina Franca (TA) Apulia </t>
  </si>
  <si>
    <t>V1</t>
  </si>
  <si>
    <t>V2</t>
  </si>
  <si>
    <t>V3</t>
  </si>
  <si>
    <t>V4</t>
  </si>
  <si>
    <t>Riccio Verdeca</t>
  </si>
  <si>
    <t>Fico Susumaniello</t>
  </si>
  <si>
    <t>I.G.P. 13,5% Rosso</t>
  </si>
  <si>
    <t>Luminaria Rosso</t>
  </si>
  <si>
    <t xml:space="preserve">Triglia Negroamaro </t>
  </si>
  <si>
    <t>I.G.P. 12,5% Rosato</t>
  </si>
  <si>
    <r>
      <t xml:space="preserve">VINI Az Agricola Giuliani - Turi (BA) Apulia  </t>
    </r>
    <r>
      <rPr>
        <b/>
        <sz val="20"/>
        <color rgb="FFFF0000"/>
        <rFont val="Calibri"/>
        <family val="2"/>
        <scheme val="minor"/>
      </rPr>
      <t>3x2</t>
    </r>
  </si>
  <si>
    <t>V5</t>
  </si>
  <si>
    <t>V6</t>
  </si>
  <si>
    <t>V7</t>
  </si>
  <si>
    <t>PAJA Negroamaro bianco</t>
  </si>
  <si>
    <t>Padronale Primitivo</t>
  </si>
  <si>
    <t>La Torre Susumaniello</t>
  </si>
  <si>
    <t xml:space="preserve">I.G.T. 14+4% Rosso 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</si>
  <si>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</si>
  <si>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</si>
  <si>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</si>
  <si>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</si>
  <si>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</si>
  <si>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</si>
  <si>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</si>
  <si>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</si>
  <si>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</si>
  <si>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 xml:space="preserve">Maioliche Verdeca </t>
  </si>
  <si>
    <t>V17</t>
  </si>
  <si>
    <t>V18</t>
  </si>
  <si>
    <t>V19</t>
  </si>
  <si>
    <t>V20</t>
  </si>
  <si>
    <t>V21</t>
  </si>
  <si>
    <t>V22</t>
  </si>
  <si>
    <t>Cappellaccio Aglianico</t>
  </si>
  <si>
    <t xml:space="preserve">Preludio N.1 Chardonnay </t>
  </si>
  <si>
    <t>Pungirosa Bombino Nero</t>
  </si>
  <si>
    <t>Gielledi - Liquori Spiriti Benedetti - Monopoli (BA) - Apulia</t>
  </si>
  <si>
    <t>N5</t>
  </si>
  <si>
    <t>N6</t>
  </si>
  <si>
    <t>Amaro Teodoro</t>
  </si>
  <si>
    <t>Nocino</t>
  </si>
  <si>
    <t>0,50L</t>
  </si>
  <si>
    <t>Vento Nuovo Chardonnay</t>
  </si>
  <si>
    <t>Evexia Negroamaro</t>
  </si>
  <si>
    <t>V23</t>
  </si>
  <si>
    <t>V24</t>
  </si>
  <si>
    <t>V25</t>
  </si>
  <si>
    <t xml:space="preserve">Briò Primitivo </t>
  </si>
  <si>
    <t>S1</t>
  </si>
  <si>
    <t>S2</t>
  </si>
  <si>
    <t>S3</t>
  </si>
  <si>
    <t>S4</t>
  </si>
  <si>
    <t>280gr</t>
  </si>
  <si>
    <t>Carciofini</t>
  </si>
  <si>
    <t>Lampascioni</t>
  </si>
  <si>
    <t>Pomodori secchi</t>
  </si>
  <si>
    <t>Melanzane</t>
  </si>
  <si>
    <t>Sott'olio</t>
  </si>
  <si>
    <t>Patè</t>
  </si>
  <si>
    <t>180gr</t>
  </si>
  <si>
    <t xml:space="preserve">Pomodori </t>
  </si>
  <si>
    <t>Olive Verdi</t>
  </si>
  <si>
    <t>Peperoncini</t>
  </si>
  <si>
    <t>Olive Nere</t>
  </si>
  <si>
    <t>Conserve Benedettine (Sapori di casa) - Conversano (BA) - Apulia</t>
  </si>
  <si>
    <t>Extra di Uva</t>
  </si>
  <si>
    <t>Carota di S.Vito e Mela</t>
  </si>
  <si>
    <t>Carota di S.Vito e Mandorla</t>
  </si>
  <si>
    <t>320gr</t>
  </si>
  <si>
    <t>100gr</t>
  </si>
  <si>
    <t>C1</t>
  </si>
  <si>
    <t>C2</t>
  </si>
  <si>
    <t>C3</t>
  </si>
  <si>
    <t>C4</t>
  </si>
  <si>
    <t>C5</t>
  </si>
  <si>
    <t>C6</t>
  </si>
  <si>
    <t xml:space="preserve">5L </t>
  </si>
  <si>
    <t>3L</t>
  </si>
  <si>
    <t>D1</t>
  </si>
  <si>
    <t>D2</t>
  </si>
  <si>
    <t>D3</t>
  </si>
  <si>
    <t>F1</t>
  </si>
  <si>
    <t>F2</t>
  </si>
  <si>
    <t>F3</t>
  </si>
  <si>
    <t>F4</t>
  </si>
  <si>
    <t>F5</t>
  </si>
  <si>
    <t>F6</t>
  </si>
  <si>
    <t>F7</t>
  </si>
  <si>
    <t>Peperoncino</t>
  </si>
  <si>
    <t>Cardone - Pasta - Fasano (BR) - Apulia</t>
  </si>
  <si>
    <t>M1</t>
  </si>
  <si>
    <t>M2</t>
  </si>
  <si>
    <t xml:space="preserve">Cavatelli Farina di ceci neri </t>
  </si>
  <si>
    <t>Strascinate</t>
  </si>
  <si>
    <t>Foglie di ulivo agli spinaci</t>
  </si>
  <si>
    <t>Orecchiette</t>
  </si>
  <si>
    <t>400gr</t>
  </si>
  <si>
    <t>E1</t>
  </si>
  <si>
    <t>E2</t>
  </si>
  <si>
    <t>T5</t>
  </si>
  <si>
    <t>T6</t>
  </si>
  <si>
    <t>Taralli Tradizionali</t>
  </si>
  <si>
    <t>Taralli alla Cipolla</t>
  </si>
  <si>
    <t>Taralli al Pepe</t>
  </si>
  <si>
    <t>Quadrotto al Bacon</t>
  </si>
  <si>
    <t>Quadrotto Patate e rosmarino</t>
  </si>
  <si>
    <t>Crostini di grano duro</t>
  </si>
  <si>
    <t>I1</t>
  </si>
  <si>
    <t>I2</t>
  </si>
  <si>
    <t>I3</t>
  </si>
  <si>
    <t>I4</t>
  </si>
  <si>
    <t>I5</t>
  </si>
  <si>
    <t>Canovaccio</t>
  </si>
  <si>
    <t>Idee Regalo - Set Da Cucina - Benedettini</t>
  </si>
  <si>
    <t>Grembiule</t>
  </si>
  <si>
    <t>Guanto da cucina Polignano</t>
  </si>
  <si>
    <t>Presina Polignano</t>
  </si>
  <si>
    <t>Tappo in sughero</t>
  </si>
  <si>
    <t>Idee Regalo - Calamite Puglia - Benedettini</t>
  </si>
  <si>
    <t>G1</t>
  </si>
  <si>
    <t>G2</t>
  </si>
  <si>
    <t>G3</t>
  </si>
  <si>
    <t>Fico</t>
  </si>
  <si>
    <t>Massaia</t>
  </si>
  <si>
    <t>Cuore Polignano a Mare</t>
  </si>
  <si>
    <t>Idee Regalo - Mare - Benedettini</t>
  </si>
  <si>
    <t>Barca in legno</t>
  </si>
  <si>
    <t>U1</t>
  </si>
  <si>
    <t>U2</t>
  </si>
  <si>
    <t>Salvagente in Legno</t>
  </si>
  <si>
    <t>Idee Regalo - Mestoli da Cucina in legno - Benedettini</t>
  </si>
  <si>
    <t>Cucchiaio</t>
  </si>
  <si>
    <t>Forchettone</t>
  </si>
  <si>
    <t>Spatola</t>
  </si>
  <si>
    <t>O1</t>
  </si>
  <si>
    <t>O2</t>
  </si>
  <si>
    <t>O3</t>
  </si>
  <si>
    <t>Idee Regalo - T-Shirt - Benedettini</t>
  </si>
  <si>
    <t>Q1</t>
  </si>
  <si>
    <t>Q2</t>
  </si>
  <si>
    <t>T-Shirt bianca</t>
  </si>
  <si>
    <t>T-Shirt blu</t>
  </si>
  <si>
    <t>Idee Regalo - Tazze - Benedettini</t>
  </si>
  <si>
    <t>Tazza San Vito</t>
  </si>
  <si>
    <t>H1</t>
  </si>
  <si>
    <t>H2</t>
  </si>
  <si>
    <t>Idee Regalo - Lampade - Benedettini</t>
  </si>
  <si>
    <t>Lampada Anfora</t>
  </si>
  <si>
    <t>Lampada Pumo</t>
  </si>
  <si>
    <t>Z1</t>
  </si>
  <si>
    <t>Z2</t>
  </si>
  <si>
    <t>P1</t>
  </si>
  <si>
    <t>P2</t>
  </si>
  <si>
    <t>P3</t>
  </si>
  <si>
    <t xml:space="preserve">Luminaria </t>
  </si>
  <si>
    <t>Riccio</t>
  </si>
  <si>
    <t>Idee Regalo - Orecchini - Benedettini</t>
  </si>
  <si>
    <t>P4</t>
  </si>
  <si>
    <t>P5</t>
  </si>
  <si>
    <t>P6</t>
  </si>
  <si>
    <t>B1</t>
  </si>
  <si>
    <t>B2</t>
  </si>
  <si>
    <t>Ventaglio Polignano a Mare</t>
  </si>
  <si>
    <t>Ventaglio Puglia</t>
  </si>
  <si>
    <t>Idee Regalo - Portachiavi - Benedettini</t>
  </si>
  <si>
    <t>Trullo alberobello</t>
  </si>
  <si>
    <t xml:space="preserve">FURFANTE  Bombino/Chardonnay </t>
  </si>
  <si>
    <t xml:space="preserve">FURFANTE  Bombino Nero </t>
  </si>
  <si>
    <r>
      <t xml:space="preserve">Masseria Mita - Crispiano (Ta) - Apulia </t>
    </r>
    <r>
      <rPr>
        <b/>
        <sz val="20"/>
        <color rgb="FFFF0000"/>
        <rFont val="Calibri"/>
        <family val="2"/>
        <scheme val="minor"/>
      </rPr>
      <t>3x2</t>
    </r>
  </si>
  <si>
    <r>
      <t xml:space="preserve">Azienda Vinicola RIVERA - Andria (BT) - Apulia </t>
    </r>
    <r>
      <rPr>
        <b/>
        <sz val="20"/>
        <color rgb="FFFF0000"/>
        <rFont val="Calibri"/>
        <family val="2"/>
        <scheme val="minor"/>
      </rPr>
      <t>3x2</t>
    </r>
  </si>
  <si>
    <t>Idee Regalo - COLLANE - Benedettini</t>
  </si>
  <si>
    <t>Idee Regalo - VENTAGLI - Benedettini</t>
  </si>
  <si>
    <t>Essenze made in Puglia (ITA)</t>
  </si>
  <si>
    <t>Dettagli</t>
  </si>
  <si>
    <t>C.tà</t>
  </si>
  <si>
    <t>Prezzo</t>
  </si>
  <si>
    <t>Q.tà</t>
  </si>
  <si>
    <t>Barchetta benedettini</t>
  </si>
  <si>
    <t>Birrificio Artigianale BIRRANOVA - Trigianello (BA) Apulia</t>
  </si>
  <si>
    <t>Puglia Alimentari - Pasta e prodotti da forno - Polignano (BA) - Apulia</t>
  </si>
  <si>
    <t>Tazza Benedettini</t>
  </si>
  <si>
    <t>R1</t>
  </si>
  <si>
    <t>R2</t>
  </si>
  <si>
    <t>I.O.P. 14,5% Rosso</t>
  </si>
  <si>
    <t>I.G.T. 13% Rosso</t>
  </si>
  <si>
    <t>I.G.T. 11% Rosato</t>
  </si>
  <si>
    <t xml:space="preserve">I.G.T. 12% Bianco </t>
  </si>
  <si>
    <t>I.G.P. 13% Rosato</t>
  </si>
  <si>
    <t>I.G.T. 12% Bianco frizzante</t>
  </si>
  <si>
    <t>I.G.T. 11,5% Rosato frizzante</t>
  </si>
  <si>
    <t>Il Falcone Nero di Troia</t>
  </si>
  <si>
    <t>D.O.C.G. 13,5% Rosso</t>
  </si>
  <si>
    <t xml:space="preserve">D.O.C. 14% Rosso </t>
  </si>
  <si>
    <t xml:space="preserve">D.O.C. 13% Bianco </t>
  </si>
  <si>
    <t xml:space="preserve">D.O.C.G. 12% Rosato </t>
  </si>
  <si>
    <t xml:space="preserve">I.G.P. 12,5% Bianco </t>
  </si>
  <si>
    <t>I.G.T. 12,5% Rosato</t>
  </si>
  <si>
    <t xml:space="preserve">I.G.P. 13,5% Rosso </t>
  </si>
  <si>
    <t>270gr</t>
  </si>
  <si>
    <t>Confetture Benedettine (Sapori di casa) - Conversano (BA) - Apulia</t>
  </si>
  <si>
    <t>Extra di Prugne</t>
  </si>
  <si>
    <t>330gr</t>
  </si>
  <si>
    <t>Scheda d'ordine da inviare via mail a sole-blu@tiscali.it</t>
  </si>
  <si>
    <t>S5</t>
  </si>
  <si>
    <t>S6</t>
  </si>
  <si>
    <t>S7</t>
  </si>
  <si>
    <t>S8</t>
  </si>
  <si>
    <t>Puglia's essences (ITA)</t>
  </si>
  <si>
    <t>Order form to be sent by email to sole-blu@tiscali.it</t>
  </si>
  <si>
    <t>H 12cm</t>
  </si>
  <si>
    <t>H 20cm</t>
  </si>
  <si>
    <t>35cm</t>
  </si>
  <si>
    <t>3,5cm</t>
  </si>
  <si>
    <t>5,5cm</t>
  </si>
  <si>
    <t xml:space="preserve"> 5x5 cm</t>
  </si>
  <si>
    <t>6x4 cm</t>
  </si>
  <si>
    <t>26x43 cm</t>
  </si>
  <si>
    <t>5 cm</t>
  </si>
  <si>
    <t>7 cm</t>
  </si>
  <si>
    <t>43x30x5,5 cm</t>
  </si>
  <si>
    <t>30x30 cm</t>
  </si>
  <si>
    <t>Oggetto</t>
  </si>
  <si>
    <t>Object</t>
  </si>
  <si>
    <t>Details</t>
  </si>
  <si>
    <t>Price</t>
  </si>
  <si>
    <t>Tin</t>
  </si>
  <si>
    <t>Bottle</t>
  </si>
  <si>
    <t>Black Pepper</t>
  </si>
  <si>
    <t>Lemon</t>
  </si>
  <si>
    <t>Garlic and Chili</t>
  </si>
  <si>
    <t>Mint</t>
  </si>
  <si>
    <t>Orange</t>
  </si>
  <si>
    <t>Basil</t>
  </si>
  <si>
    <t>Chili Pepper</t>
  </si>
  <si>
    <t>Cap</t>
  </si>
  <si>
    <t>Qty</t>
  </si>
  <si>
    <t>Add</t>
  </si>
  <si>
    <t xml:space="preserve">Name </t>
  </si>
  <si>
    <t>Phone</t>
  </si>
  <si>
    <t>Ind</t>
  </si>
  <si>
    <t xml:space="preserve">Nome </t>
  </si>
  <si>
    <t>Telefono</t>
  </si>
  <si>
    <t>Total order</t>
  </si>
  <si>
    <t>Benedictine Jams (Sapori di casa) - Conversano (BA) - Apulia</t>
  </si>
  <si>
    <t>Artichokes</t>
  </si>
  <si>
    <t>Dried tomatoes</t>
  </si>
  <si>
    <t>Eggplant</t>
  </si>
  <si>
    <t>Tomatoes</t>
  </si>
  <si>
    <t>Green Olive</t>
  </si>
  <si>
    <t>Black olives</t>
  </si>
  <si>
    <t>Benedectine Canned food (Sapori di casa) - Conversano (BA) - Apulia</t>
  </si>
  <si>
    <t>Grape</t>
  </si>
  <si>
    <t>Plum</t>
  </si>
  <si>
    <t>St. Vito's Carrot and Apple</t>
  </si>
  <si>
    <t>St. Vito's Carrot and Almond</t>
  </si>
  <si>
    <t xml:space="preserve">Oil ExtraVergineOliva </t>
  </si>
  <si>
    <t>Puglia Alimentari - Pasta and baked goods - Polignano (BA) - Apulia</t>
  </si>
  <si>
    <t>Cavatelli chickpeas Flour</t>
  </si>
  <si>
    <t>Pepper Taralli</t>
  </si>
  <si>
    <t xml:space="preserve">Potatoes and rosemary Quadrotto </t>
  </si>
  <si>
    <t>durum wheat Crostini</t>
  </si>
  <si>
    <t>dish cloth</t>
  </si>
  <si>
    <t>Apron</t>
  </si>
  <si>
    <t>Polignano Oven Glove</t>
  </si>
  <si>
    <t>Potholder Polignano</t>
  </si>
  <si>
    <t>Cork stopper</t>
  </si>
  <si>
    <t>Gift Ideas - Set Da Cucina - Benedettini</t>
  </si>
  <si>
    <t>Gift Ideas - T-Shirt - Benedettini</t>
  </si>
  <si>
    <t>Gift Ideas - Tazze - Benedettini</t>
  </si>
  <si>
    <t>Gift Ideas - Lampade - Benedettini</t>
  </si>
  <si>
    <t>Gift Ideas - COLLANE - Benedettini</t>
  </si>
  <si>
    <t>Gift Ideas - Orecchini - Benedettini</t>
  </si>
  <si>
    <t>Gift Ideas - VENTAGLI - Benedettini</t>
  </si>
  <si>
    <t>Gift Ideas - Portachiavi - Benedettini</t>
  </si>
  <si>
    <t>Heart of Polignano a Mare</t>
  </si>
  <si>
    <t>Peasant</t>
  </si>
  <si>
    <t>Prickly pear</t>
  </si>
  <si>
    <t>Gift Ideas - Magnet - Benedettini</t>
  </si>
  <si>
    <t>Gift Ideas - Sea - Benedettini</t>
  </si>
  <si>
    <t>Gift Ideas - Wood Kitchen Set - Benedettini</t>
  </si>
  <si>
    <t>Spoon</t>
  </si>
  <si>
    <t>Fork</t>
  </si>
  <si>
    <t>Spatula</t>
  </si>
  <si>
    <t>T-Shirt white</t>
  </si>
  <si>
    <t>T-Shirt blue</t>
  </si>
  <si>
    <t>S-M-L-XL-XXL</t>
  </si>
  <si>
    <t>Cup San Vito</t>
  </si>
  <si>
    <t>Cup Benedettini</t>
  </si>
  <si>
    <t>Amphora lamp</t>
  </si>
  <si>
    <t>Pumo Lamp</t>
  </si>
  <si>
    <t xml:space="preserve">Luminary </t>
  </si>
  <si>
    <t>Sea ​​urchin</t>
  </si>
  <si>
    <t>Polignano a Mare Fan</t>
  </si>
  <si>
    <t>Puglia Fan</t>
  </si>
  <si>
    <t>Benedictine boat</t>
  </si>
  <si>
    <t>Handmade brewery Artigianale BIRRANOVA - Trigianello (BA) Apulia</t>
  </si>
  <si>
    <t>Gielledi - Liquor Spiriti Benedetti - Monopoli (BA) - Apulia</t>
  </si>
  <si>
    <t>Brasserie artisanale BIRRANOVA - Trigianello (BA) - Apulia</t>
  </si>
  <si>
    <t>Conserves Bénédictines (Sapori di casa) - Conversano (BA) - Apulia</t>
  </si>
  <si>
    <t>Le Ferre - HUILE D'OLIVE VIERGE EXTRA Aromatisée - Castellaneta (TA) - Apulia</t>
  </si>
  <si>
    <t>Cardone - Pâtes - Fasano (BR) - Apulia</t>
  </si>
  <si>
    <t>Puglia Alimentari - Pâtes et produits de boulangerie - Polignano (BA) - Apulia</t>
  </si>
  <si>
    <t>Idées Cadeaux - Ensemble De Cuisine - Bénédictins</t>
  </si>
  <si>
    <t>Idées Cadeaux - Aimant - Bénédictins</t>
  </si>
  <si>
    <t>Idées Cadeaux - Mer - Bénédictins</t>
  </si>
  <si>
    <t>Idées Cadeaux - Ensemble de Cuisine en Bois - Benedettini</t>
  </si>
  <si>
    <t>Idées Cadeaux - T-Shirt - Bénédictins</t>
  </si>
  <si>
    <t>Idées Cadeaux - Tasses - Bénédictins</t>
  </si>
  <si>
    <t>Idées Cadeaux - Lampes - Bénédictins</t>
  </si>
  <si>
    <t>Idées Cadeaux - COLLIERS - Bénédictins</t>
  </si>
  <si>
    <t>Idées Cadeaux - Boucles d'oreilles - Bénédictines</t>
  </si>
  <si>
    <t>Idées Cadeaux - ÉVENTAILS - Bénédictins</t>
  </si>
  <si>
    <t>Idées Cadeaux - Porte-clés - Bénédictins</t>
  </si>
  <si>
    <t>Artichauts</t>
  </si>
  <si>
    <t>Tomates séchées</t>
  </si>
  <si>
    <t>Aubergines</t>
  </si>
  <si>
    <t>Tomates</t>
  </si>
  <si>
    <t>Olives vertes</t>
  </si>
  <si>
    <t xml:space="preserve">Lampascioni </t>
  </si>
  <si>
    <t>Piments</t>
  </si>
  <si>
    <t>Olives noires</t>
  </si>
  <si>
    <t>Raisin</t>
  </si>
  <si>
    <t>Élaguer</t>
  </si>
  <si>
    <t>Carottes et amandes San Vito</t>
  </si>
  <si>
    <t>Carotte et pomme San Vito</t>
  </si>
  <si>
    <t>Étain</t>
  </si>
  <si>
    <t>Bouteille</t>
  </si>
  <si>
    <t>Poivre Noir</t>
  </si>
  <si>
    <t>Citron</t>
  </si>
  <si>
    <t>Ail et piment</t>
  </si>
  <si>
    <t>Menthe</t>
  </si>
  <si>
    <t>Basilic</t>
  </si>
  <si>
    <t>Piment</t>
  </si>
  <si>
    <t>Cavatelli Farine de pois chiches noirs</t>
  </si>
  <si>
    <t xml:space="preserve">Onion Taralli </t>
  </si>
  <si>
    <t>Feuilles d'olivier aux épinards</t>
  </si>
  <si>
    <t>Taralli traditionnel</t>
  </si>
  <si>
    <t>Taralli à l'oignon</t>
  </si>
  <si>
    <t>Poivre Taralli</t>
  </si>
  <si>
    <t>Quadrotto au bacon</t>
  </si>
  <si>
    <t>Quadrotto de pommes de terre et romarin</t>
  </si>
  <si>
    <t>Crostini au blé dur</t>
  </si>
  <si>
    <t>Torchon</t>
  </si>
  <si>
    <t>Tablier</t>
  </si>
  <si>
    <t>Gant de cuisine Polignano</t>
  </si>
  <si>
    <t>Manique Polignano</t>
  </si>
  <si>
    <t>Bouchon de liège</t>
  </si>
  <si>
    <t>Figuier de Barbarie</t>
  </si>
  <si>
    <t>Paysan</t>
  </si>
  <si>
    <t>Cœur de Polignano a Mare</t>
  </si>
  <si>
    <t>Bateau en bois</t>
  </si>
  <si>
    <t>Bouée de sauvetage en bois</t>
  </si>
  <si>
    <t>Fourchette</t>
  </si>
  <si>
    <t>Cuillèren</t>
  </si>
  <si>
    <t>Spatule</t>
  </si>
  <si>
    <t>Mug Saint-Guy</t>
  </si>
  <si>
    <t>Mug bénédictin</t>
  </si>
  <si>
    <t>Lampe amphore</t>
  </si>
  <si>
    <t>Lampe Pumo</t>
  </si>
  <si>
    <t>Luminaire</t>
  </si>
  <si>
    <t>Oursin</t>
  </si>
  <si>
    <t>Éventail des Pouilles</t>
  </si>
  <si>
    <t xml:space="preserve">Éventail des Polignano a Mare </t>
  </si>
  <si>
    <t>bateau bénédictin</t>
  </si>
  <si>
    <t>T-shirt blanc</t>
  </si>
  <si>
    <t>T-shirt bleu</t>
  </si>
  <si>
    <t>Le formulaire de commande doit être envoyé par courriel à sole-blu@tiscali.it</t>
  </si>
  <si>
    <t>Les essences des Pouilles (ITA)</t>
  </si>
  <si>
    <t>Commande totale</t>
  </si>
  <si>
    <t>Article</t>
  </si>
  <si>
    <t>Prix</t>
  </si>
  <si>
    <t>Qté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</si>
</sst>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;[Red]\-&quot;€&quot;\ #,##0.00"/>
    <numFmt numFmtId="165" formatCode="_-* #,##0.00\ [$€-410]_-;\-* #,##0.00\ [$€-410]_-;_-* &quot;-&quot;??\ [$€-410]_-;_-@_-"/>
  </numFmts>
  <fonts count="4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3"/>
      <color rgb="FF0000FF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color rgb="FFC00000"/>
      <name val="Calibri"/>
      <family val="2"/>
    </font>
    <font>
      <b/>
      <i/>
      <sz val="22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0"/>
      <color rgb="FF0000F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00FF"/>
      <name val="Calibri"/>
      <family val="2"/>
    </font>
    <font>
      <sz val="2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002060"/>
      <name val="Calibri"/>
      <family val="2"/>
      <scheme val="minor"/>
    </font>
    <font>
      <b/>
      <sz val="20"/>
      <color rgb="FF002060"/>
      <name val="Calibri"/>
      <family val="2"/>
    </font>
    <font>
      <b/>
      <sz val="26"/>
      <color theme="1"/>
      <name val="Calibri"/>
      <family val="2"/>
      <scheme val="minor"/>
    </font>
    <font>
      <b/>
      <sz val="26"/>
      <color theme="2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6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6"/>
      <color theme="1"/>
      <name val="Calibri"/>
      <family val="2"/>
    </font>
    <font>
      <b/>
      <sz val="13"/>
      <color theme="0"/>
      <name val="Calibri"/>
      <family val="2"/>
      <scheme val="minor"/>
    </font>
    <font>
      <b/>
      <sz val="13"/>
      <color theme="0"/>
      <name val="Calibri"/>
      <family val="2"/>
    </font>
    <font>
      <b/>
      <sz val="20"/>
      <color theme="4" tint="-0.499984740745262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rgb="FF0000FF"/>
      <name val="Inherit"/>
    </font>
    <font>
      <sz val="22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0" fillId="5" borderId="0" xfId="0" applyFill="1"/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1" fillId="0" borderId="0" xfId="0" applyFont="1"/>
    <xf numFmtId="0" fontId="10" fillId="4" borderId="0" xfId="0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7" borderId="0" xfId="0" applyFill="1"/>
    <xf numFmtId="0" fontId="5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6" borderId="0" xfId="0" applyFill="1"/>
    <xf numFmtId="9" fontId="3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8" fillId="2" borderId="0" xfId="0" applyFont="1" applyFill="1"/>
    <xf numFmtId="0" fontId="19" fillId="0" borderId="0" xfId="0" applyFont="1"/>
    <xf numFmtId="0" fontId="21" fillId="3" borderId="0" xfId="0" applyFont="1" applyFill="1"/>
    <xf numFmtId="0" fontId="22" fillId="6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8" fillId="6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0" borderId="0" xfId="0" applyFont="1"/>
    <xf numFmtId="0" fontId="18" fillId="6" borderId="0" xfId="0" applyFont="1" applyFill="1"/>
    <xf numFmtId="0" fontId="18" fillId="4" borderId="0" xfId="0" applyFont="1" applyFill="1" applyAlignment="1">
      <alignment horizontal="left" vertical="center"/>
    </xf>
    <xf numFmtId="0" fontId="20" fillId="0" borderId="0" xfId="0" applyFont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20" fillId="5" borderId="0" xfId="0" applyFont="1" applyFill="1" applyAlignment="1">
      <alignment horizontal="center"/>
    </xf>
    <xf numFmtId="0" fontId="24" fillId="0" borderId="0" xfId="0" applyFont="1"/>
    <xf numFmtId="164" fontId="18" fillId="3" borderId="2" xfId="0" applyNumberFormat="1" applyFont="1" applyFill="1" applyBorder="1" applyAlignment="1">
      <alignment horizontal="center"/>
    </xf>
    <xf numFmtId="0" fontId="24" fillId="3" borderId="0" xfId="0" applyFont="1" applyFill="1"/>
    <xf numFmtId="0" fontId="2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9" fontId="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8" fillId="4" borderId="0" xfId="0" applyFont="1" applyFill="1"/>
    <xf numFmtId="0" fontId="13" fillId="4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/>
    </xf>
    <xf numFmtId="0" fontId="29" fillId="3" borderId="0" xfId="0" applyFont="1" applyFill="1"/>
    <xf numFmtId="0" fontId="30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32" fillId="3" borderId="1" xfId="0" applyFont="1" applyFill="1" applyBorder="1" applyAlignment="1">
      <alignment horizontal="center" vertical="center"/>
    </xf>
    <xf numFmtId="164" fontId="33" fillId="3" borderId="2" xfId="0" applyNumberFormat="1" applyFont="1" applyFill="1" applyBorder="1" applyAlignment="1">
      <alignment horizontal="center"/>
    </xf>
    <xf numFmtId="0" fontId="32" fillId="3" borderId="0" xfId="0" applyFont="1" applyFill="1"/>
    <xf numFmtId="0" fontId="20" fillId="9" borderId="0" xfId="0" applyFont="1" applyFill="1"/>
    <xf numFmtId="0" fontId="19" fillId="9" borderId="0" xfId="0" applyFont="1" applyFill="1"/>
    <xf numFmtId="0" fontId="0" fillId="9" borderId="0" xfId="0" applyFill="1"/>
    <xf numFmtId="0" fontId="24" fillId="9" borderId="0" xfId="0" applyFont="1" applyFill="1"/>
    <xf numFmtId="0" fontId="26" fillId="9" borderId="0" xfId="0" applyFont="1" applyFill="1"/>
    <xf numFmtId="0" fontId="4" fillId="4" borderId="0" xfId="0" applyFont="1" applyFill="1" applyAlignment="1">
      <alignment horizontal="center" vertical="center"/>
    </xf>
    <xf numFmtId="164" fontId="18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164" fontId="23" fillId="4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5" fontId="1" fillId="3" borderId="0" xfId="0" applyNumberFormat="1" applyFont="1" applyFill="1"/>
    <xf numFmtId="164" fontId="18" fillId="0" borderId="0" xfId="0" applyNumberFormat="1" applyFont="1" applyAlignment="1">
      <alignment horizontal="center"/>
    </xf>
    <xf numFmtId="0" fontId="3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5" fillId="7" borderId="0" xfId="0" applyFont="1" applyFill="1"/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0" fontId="6" fillId="6" borderId="0" xfId="0" applyFont="1" applyFill="1"/>
    <xf numFmtId="0" fontId="6" fillId="2" borderId="0" xfId="0" applyFont="1" applyFill="1"/>
    <xf numFmtId="0" fontId="10" fillId="2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6" fillId="6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9" fillId="3" borderId="0" xfId="0" applyFont="1" applyFill="1"/>
    <xf numFmtId="0" fontId="36" fillId="0" borderId="0" xfId="0" applyFont="1"/>
    <xf numFmtId="0" fontId="36" fillId="3" borderId="1" xfId="0" applyFont="1" applyFill="1" applyBorder="1" applyAlignment="1">
      <alignment horizontal="center" vertical="center"/>
    </xf>
    <xf numFmtId="0" fontId="36" fillId="3" borderId="0" xfId="0" applyFont="1" applyFill="1"/>
    <xf numFmtId="0" fontId="37" fillId="7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6" fillId="9" borderId="0" xfId="0" applyFont="1" applyFill="1"/>
    <xf numFmtId="0" fontId="40" fillId="4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8" fillId="3" borderId="0" xfId="0" applyFont="1" applyFill="1"/>
    <xf numFmtId="0" fontId="36" fillId="10" borderId="0" xfId="0" applyFont="1" applyFill="1" applyAlignment="1">
      <alignment horizontal="right"/>
    </xf>
    <xf numFmtId="0" fontId="36" fillId="2" borderId="0" xfId="0" applyFont="1" applyFill="1" applyAlignment="1">
      <alignment horizontal="right"/>
    </xf>
    <xf numFmtId="0" fontId="37" fillId="11" borderId="0" xfId="0" applyFont="1" applyFill="1" applyAlignment="1">
      <alignment horizontal="right"/>
    </xf>
    <xf numFmtId="0" fontId="25" fillId="11" borderId="0" xfId="0" applyFont="1" applyFill="1" applyAlignment="1">
      <alignment horizontal="center"/>
    </xf>
    <xf numFmtId="0" fontId="38" fillId="11" borderId="0" xfId="0" applyFont="1" applyFill="1" applyAlignment="1">
      <alignment horizontal="right"/>
    </xf>
    <xf numFmtId="0" fontId="1" fillId="11" borderId="0" xfId="0" applyFont="1" applyFill="1"/>
    <xf numFmtId="0" fontId="38" fillId="11" borderId="0" xfId="0" applyFont="1" applyFill="1"/>
    <xf numFmtId="0" fontId="20" fillId="2" borderId="0" xfId="0" applyFont="1" applyFill="1" applyAlignment="1">
      <alignment horizontal="center"/>
    </xf>
    <xf numFmtId="0" fontId="43" fillId="2" borderId="0" xfId="0" applyFont="1" applyFill="1"/>
    <xf numFmtId="0" fontId="2" fillId="11" borderId="0" xfId="0" applyFont="1" applyFill="1"/>
    <xf numFmtId="0" fontId="38" fillId="2" borderId="0" xfId="0" applyFont="1" applyFill="1"/>
    <xf numFmtId="0" fontId="44" fillId="9" borderId="0" xfId="0" applyFont="1" applyFill="1"/>
    <xf numFmtId="0" fontId="18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5" fillId="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left" vertical="center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165" fontId="15" fillId="3" borderId="1" xfId="0" applyNumberFormat="1" applyFont="1" applyFill="1" applyBorder="1" applyAlignment="1">
      <alignment horizontal="center" vertical="center"/>
    </xf>
    <xf numFmtId="0" fontId="37" fillId="11" borderId="0" xfId="0" applyFont="1" applyFill="1" applyAlignment="1" applyProtection="1">
      <alignment horizontal="center"/>
      <protection locked="0"/>
    </xf>
    <xf numFmtId="165" fontId="4" fillId="6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165" fontId="34" fillId="3" borderId="1" xfId="0" applyNumberFormat="1" applyFont="1" applyFill="1" applyBorder="1" applyAlignment="1">
      <alignment horizontal="center" vertical="center"/>
    </xf>
    <xf numFmtId="0" fontId="41" fillId="11" borderId="0" xfId="0" applyFont="1" applyFill="1" applyAlignment="1" applyProtection="1">
      <alignment horizontal="center"/>
      <protection locked="0"/>
    </xf>
    <xf numFmtId="0" fontId="42" fillId="11" borderId="0" xfId="0" applyFont="1" applyFill="1" applyAlignment="1" applyProtection="1">
      <alignment horizontal="center"/>
      <protection locked="0"/>
    </xf>
    <xf numFmtId="165" fontId="46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4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8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10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1080274</xdr:colOff>
      <xdr:row>3</xdr:row>
      <xdr:rowOff>287868</xdr:rowOff>
    </xdr:from>
    <xdr:to>
      <xdr:col>13</xdr:col>
      <xdr:colOff>69329</xdr:colOff>
      <xdr:row>17</xdr:row>
      <xdr:rowOff>317501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9C371DD-D534-410A-8203-7BB89A1C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007" y="1278468"/>
          <a:ext cx="4951270" cy="4686300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4461D7F-1D7E-4613-86AF-4F02DE32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1" y="713214"/>
          <a:ext cx="6016624" cy="46873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4" name="Immagine 3" descr="Contatti">
          <a:extLst>
            <a:ext uri="{FF2B5EF4-FFF2-40B4-BE49-F238E27FC236}">
              <a16:creationId xmlns:a16="http://schemas.microsoft.com/office/drawing/2014/main" id="{90096EE9-CEE3-4122-A87C-8F3110E900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87136" y="4881454"/>
          <a:ext cx="6606887" cy="9201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38636</xdr:colOff>
      <xdr:row>28</xdr:row>
      <xdr:rowOff>65606</xdr:rowOff>
    </xdr:from>
    <xdr:to>
      <xdr:col>15</xdr:col>
      <xdr:colOff>188340</xdr:colOff>
      <xdr:row>33</xdr:row>
      <xdr:rowOff>135660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3C7CE4C-170E-8D23-191B-968174E7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8636" y="9056629"/>
          <a:ext cx="1838226" cy="1729713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13392</xdr:rowOff>
    </xdr:from>
    <xdr:to>
      <xdr:col>14</xdr:col>
      <xdr:colOff>981364</xdr:colOff>
      <xdr:row>75</xdr:row>
      <xdr:rowOff>167561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9D5C588D-A900-427F-A1FF-F504C985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7045" y="23277483"/>
          <a:ext cx="1573069" cy="148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54507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FE9398C-963B-4FDB-B833-79034463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1750" y="16309398"/>
          <a:ext cx="2508250" cy="2362154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102013</xdr:rowOff>
    </xdr:from>
    <xdr:to>
      <xdr:col>18</xdr:col>
      <xdr:colOff>0</xdr:colOff>
      <xdr:row>75</xdr:row>
      <xdr:rowOff>101024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7D271F2-E5F9-431A-A54C-04D5ECA7B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753521" y="23366104"/>
          <a:ext cx="2006024" cy="1326738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94672</xdr:colOff>
      <xdr:row>43</xdr:row>
      <xdr:rowOff>167822</xdr:rowOff>
    </xdr:from>
    <xdr:to>
      <xdr:col>15</xdr:col>
      <xdr:colOff>412174</xdr:colOff>
      <xdr:row>47</xdr:row>
      <xdr:rowOff>166833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98CB71D-760D-4D00-9640-0ED468268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1394786" y="15465549"/>
          <a:ext cx="2006024" cy="1326738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86592</xdr:colOff>
      <xdr:row>113</xdr:row>
      <xdr:rowOff>216479</xdr:rowOff>
    </xdr:from>
    <xdr:to>
      <xdr:col>14</xdr:col>
      <xdr:colOff>897314</xdr:colOff>
      <xdr:row>116</xdr:row>
      <xdr:rowOff>157760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45A42156-E6C1-48F8-A3E5-2825664C6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2339206" y="37421706"/>
          <a:ext cx="1416858" cy="937077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13474</xdr:colOff>
      <xdr:row>4</xdr:row>
      <xdr:rowOff>302630</xdr:rowOff>
    </xdr:from>
    <xdr:to>
      <xdr:col>14</xdr:col>
      <xdr:colOff>263838</xdr:colOff>
      <xdr:row>18</xdr:row>
      <xdr:rowOff>307340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8ADEBA6-DA8D-4196-8ADD-1CF829EC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07" y="1293230"/>
          <a:ext cx="4949364" cy="4661377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0766E5C8-3620-4B0C-8D53-E2206656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1" y="701784"/>
          <a:ext cx="7611109" cy="46137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13" name="Immagine 12" descr="Contatti">
          <a:extLst>
            <a:ext uri="{FF2B5EF4-FFF2-40B4-BE49-F238E27FC236}">
              <a16:creationId xmlns:a16="http://schemas.microsoft.com/office/drawing/2014/main" id="{559250A2-7150-49FA-9B87-06DB49D8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90600" y="4821649"/>
          <a:ext cx="7515860" cy="9165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38636</xdr:colOff>
      <xdr:row>28</xdr:row>
      <xdr:rowOff>65606</xdr:rowOff>
    </xdr:from>
    <xdr:to>
      <xdr:col>15</xdr:col>
      <xdr:colOff>188340</xdr:colOff>
      <xdr:row>33</xdr:row>
      <xdr:rowOff>135660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FA0142E-6E14-4ED0-B532-C3B40A979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8416" y="8950526"/>
          <a:ext cx="1864204" cy="1708354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13392</xdr:rowOff>
    </xdr:from>
    <xdr:to>
      <xdr:col>14</xdr:col>
      <xdr:colOff>981364</xdr:colOff>
      <xdr:row>75</xdr:row>
      <xdr:rowOff>167561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5ED2D78-B3A3-40C0-8333-9A0FE6BD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4211" y="22987692"/>
          <a:ext cx="1576533" cy="1464809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54507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3248D825-D501-41A1-B09E-391424D66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1530" y="16109315"/>
          <a:ext cx="2537691" cy="2332252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102013</xdr:rowOff>
    </xdr:from>
    <xdr:to>
      <xdr:col>18</xdr:col>
      <xdr:colOff>0</xdr:colOff>
      <xdr:row>75</xdr:row>
      <xdr:rowOff>101024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B5142057-EAB6-4431-966C-A699333E0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984151" y="23076313"/>
          <a:ext cx="2038929" cy="130965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94672</xdr:colOff>
      <xdr:row>43</xdr:row>
      <xdr:rowOff>167822</xdr:rowOff>
    </xdr:from>
    <xdr:to>
      <xdr:col>15</xdr:col>
      <xdr:colOff>412174</xdr:colOff>
      <xdr:row>47</xdr:row>
      <xdr:rowOff>166833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93501646-ECA6-4772-9258-5CAE5330E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574452" y="13967642"/>
          <a:ext cx="2032002" cy="130965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14</xdr:col>
      <xdr:colOff>69659</xdr:colOff>
      <xdr:row>113</xdr:row>
      <xdr:rowOff>38679</xdr:rowOff>
    </xdr:from>
    <xdr:to>
      <xdr:col>15</xdr:col>
      <xdr:colOff>380847</xdr:colOff>
      <xdr:row>115</xdr:row>
      <xdr:rowOff>310160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00B7EF73-850A-45E6-B9D5-F014A00B3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158192" y="37385146"/>
          <a:ext cx="1420322" cy="93188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13474</xdr:colOff>
      <xdr:row>3</xdr:row>
      <xdr:rowOff>279400</xdr:rowOff>
    </xdr:from>
    <xdr:to>
      <xdr:col>14</xdr:col>
      <xdr:colOff>263838</xdr:colOff>
      <xdr:row>18</xdr:row>
      <xdr:rowOff>143934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8059BCA-B48C-475E-A5B1-D40322B2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07" y="1270000"/>
          <a:ext cx="4949364" cy="4851401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234859C-31F0-466C-AEE0-521826BFB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1" y="1029444"/>
          <a:ext cx="7595869" cy="46137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4" name="Immagine 3" descr="Contatti">
          <a:extLst>
            <a:ext uri="{FF2B5EF4-FFF2-40B4-BE49-F238E27FC236}">
              <a16:creationId xmlns:a16="http://schemas.microsoft.com/office/drawing/2014/main" id="{6D64E848-166A-4F89-A156-9E779E2D2B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90600" y="5149309"/>
          <a:ext cx="7500620" cy="9165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8467</xdr:colOff>
      <xdr:row>28</xdr:row>
      <xdr:rowOff>321733</xdr:rowOff>
    </xdr:from>
    <xdr:to>
      <xdr:col>15</xdr:col>
      <xdr:colOff>196807</xdr:colOff>
      <xdr:row>33</xdr:row>
      <xdr:rowOff>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B7D3602-5C95-483A-AD48-DF9AEB9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9601200"/>
          <a:ext cx="1907074" cy="1329268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13393</xdr:rowOff>
    </xdr:from>
    <xdr:to>
      <xdr:col>14</xdr:col>
      <xdr:colOff>981364</xdr:colOff>
      <xdr:row>74</xdr:row>
      <xdr:rowOff>313267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59B0DC5-14DB-407F-905A-6FEA74AC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364" y="23491460"/>
          <a:ext cx="1576533" cy="1290474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25400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98D97E3-5FB1-453D-86BA-E6EE2713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683" y="16559742"/>
          <a:ext cx="2541925" cy="2320925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8467</xdr:rowOff>
    </xdr:from>
    <xdr:to>
      <xdr:col>18</xdr:col>
      <xdr:colOff>0</xdr:colOff>
      <xdr:row>75</xdr:row>
      <xdr:rowOff>33867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D5C08583-80B8-4337-973E-7221427A4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983304" y="23486534"/>
          <a:ext cx="2043163" cy="1346200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77738</xdr:colOff>
      <xdr:row>43</xdr:row>
      <xdr:rowOff>8465</xdr:rowOff>
    </xdr:from>
    <xdr:to>
      <xdr:col>16</xdr:col>
      <xdr:colOff>211665</xdr:colOff>
      <xdr:row>47</xdr:row>
      <xdr:rowOff>321734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7AD39641-A860-4060-941D-1885A9076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556671" y="14240932"/>
          <a:ext cx="2462261" cy="1634069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14</xdr:col>
      <xdr:colOff>69659</xdr:colOff>
      <xdr:row>113</xdr:row>
      <xdr:rowOff>38679</xdr:rowOff>
    </xdr:from>
    <xdr:to>
      <xdr:col>15</xdr:col>
      <xdr:colOff>380847</xdr:colOff>
      <xdr:row>115</xdr:row>
      <xdr:rowOff>313266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2C0BFAE-6426-451A-90E7-49B5DE587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158192" y="37385146"/>
          <a:ext cx="1420322" cy="934987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44B2-5758-4AD9-8B25-DFC1E392E0A3}">
  <dimension ref="A1:R273"/>
  <sheetViews>
    <sheetView topLeftCell="A22" zoomScale="68" zoomScaleNormal="68" workbookViewId="0">
      <selection activeCell="I31" sqref="I31:R31"/>
    </sheetView>
  </sheetViews>
  <sheetFormatPr defaultRowHeight="26.25"/>
  <cols>
    <col min="2" max="2" width="9.140625" style="51"/>
    <col min="3" max="3" width="47.5703125" style="37" customWidth="1"/>
    <col min="4" max="4" width="38.28515625" customWidth="1"/>
    <col min="5" max="5" width="8.140625" customWidth="1"/>
    <col min="6" max="6" width="25" customWidth="1"/>
    <col min="8" max="8" width="14.7109375" style="55" customWidth="1"/>
    <col min="9" max="9" width="11" style="127" customWidth="1"/>
    <col min="10" max="10" width="5.85546875" style="127" customWidth="1"/>
    <col min="11" max="11" width="11.28515625" customWidth="1"/>
    <col min="12" max="12" width="3.28515625" customWidth="1"/>
    <col min="13" max="13" width="6.7109375" customWidth="1"/>
    <col min="15" max="15" width="16.140625" customWidth="1"/>
  </cols>
  <sheetData>
    <row r="1" spans="1:18">
      <c r="I1" s="131"/>
      <c r="J1" s="131"/>
    </row>
    <row r="2" spans="1:18">
      <c r="A2" s="3"/>
      <c r="B2" s="52" t="s">
        <v>1</v>
      </c>
      <c r="C2" s="38" t="s">
        <v>257</v>
      </c>
      <c r="D2" s="26"/>
      <c r="E2" s="27"/>
      <c r="F2" s="38" t="s">
        <v>227</v>
      </c>
      <c r="G2" s="38"/>
      <c r="H2" s="56"/>
      <c r="I2" s="139"/>
      <c r="J2" s="139"/>
      <c r="K2" s="140"/>
      <c r="L2" s="140"/>
      <c r="M2" s="140"/>
      <c r="N2" s="3"/>
      <c r="O2" s="3"/>
      <c r="P2" s="3"/>
      <c r="Q2" s="3"/>
      <c r="R2" s="3"/>
    </row>
    <row r="3" spans="1:18">
      <c r="A3" s="3"/>
      <c r="B3" s="128" t="s">
        <v>294</v>
      </c>
      <c r="C3" s="130"/>
      <c r="D3" s="129" t="s">
        <v>295</v>
      </c>
      <c r="E3" s="130"/>
      <c r="F3" s="130"/>
      <c r="G3" s="130"/>
      <c r="H3" s="129" t="s">
        <v>296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31"/>
      <c r="J4" s="131"/>
    </row>
    <row r="16" spans="1:18" ht="28.5">
      <c r="D16" s="12"/>
    </row>
    <row r="19" spans="1:18">
      <c r="I19" s="131"/>
      <c r="J19" s="131"/>
    </row>
    <row r="20" spans="1:18">
      <c r="A20" s="3"/>
      <c r="B20" s="52" t="s">
        <v>1</v>
      </c>
      <c r="C20" s="38" t="s">
        <v>44</v>
      </c>
      <c r="D20" s="26" t="s">
        <v>1</v>
      </c>
      <c r="E20" s="27" t="s">
        <v>1</v>
      </c>
      <c r="F20" s="28" t="s">
        <v>1</v>
      </c>
      <c r="G20" s="29" t="s">
        <v>1</v>
      </c>
      <c r="H20" s="56" t="s">
        <v>1</v>
      </c>
      <c r="I20" s="139">
        <f>+I192</f>
        <v>0</v>
      </c>
      <c r="J20" s="139"/>
      <c r="K20" s="140">
        <f>+K192</f>
        <v>0</v>
      </c>
      <c r="L20" s="140"/>
      <c r="M20" s="140"/>
      <c r="N20" s="3"/>
      <c r="O20" s="3"/>
      <c r="P20" s="3"/>
      <c r="Q20" s="3"/>
      <c r="R20" s="3"/>
    </row>
    <row r="21" spans="1:18">
      <c r="I21" s="131"/>
      <c r="J21" s="131"/>
    </row>
    <row r="22" spans="1:18">
      <c r="B22" s="53"/>
      <c r="C22" s="107" t="s">
        <v>53</v>
      </c>
      <c r="D22" s="2"/>
      <c r="E22" s="3"/>
      <c r="F22" s="3"/>
      <c r="G22" s="3"/>
      <c r="H22" s="57"/>
      <c r="I22" s="120"/>
      <c r="J22" s="120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276</v>
      </c>
      <c r="D23" s="94"/>
      <c r="E23" s="96" t="s">
        <v>228</v>
      </c>
      <c r="F23" s="96"/>
      <c r="G23" s="96" t="s">
        <v>229</v>
      </c>
      <c r="H23" s="95" t="s">
        <v>230</v>
      </c>
      <c r="I23" s="123" t="s">
        <v>231</v>
      </c>
      <c r="J23" s="123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84" t="s">
        <v>0</v>
      </c>
      <c r="H24" s="85">
        <v>25</v>
      </c>
      <c r="I24" s="141">
        <v>0</v>
      </c>
      <c r="J24" s="141"/>
      <c r="K24" s="142">
        <f>+H24*I24</f>
        <v>0</v>
      </c>
      <c r="L24" s="142"/>
      <c r="M24" s="142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82" t="s">
        <v>0</v>
      </c>
      <c r="H25" s="83">
        <v>25</v>
      </c>
      <c r="I25" s="141">
        <v>0</v>
      </c>
      <c r="J25" s="141"/>
      <c r="K25" s="143">
        <f>+H25*I25</f>
        <v>0</v>
      </c>
      <c r="L25" s="143"/>
      <c r="M25" s="143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84" t="s">
        <v>0</v>
      </c>
      <c r="H26" s="85">
        <v>25</v>
      </c>
      <c r="I26" s="141">
        <v>0</v>
      </c>
      <c r="J26" s="141"/>
      <c r="K26" s="142">
        <f>+H26*I26</f>
        <v>0</v>
      </c>
      <c r="L26" s="142"/>
      <c r="M26" s="142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82" t="s">
        <v>0</v>
      </c>
      <c r="H27" s="83">
        <v>25</v>
      </c>
      <c r="I27" s="141">
        <v>0</v>
      </c>
      <c r="J27" s="141"/>
      <c r="K27" s="143">
        <f>+H27*I27</f>
        <v>0</v>
      </c>
      <c r="L27" s="143"/>
      <c r="M27" s="143"/>
      <c r="N27" s="4"/>
    </row>
    <row r="28" spans="1:18">
      <c r="B28" s="75"/>
      <c r="C28" s="76"/>
      <c r="D28" s="77"/>
      <c r="E28" s="77"/>
      <c r="F28" s="77"/>
      <c r="G28" s="77"/>
      <c r="H28" s="78"/>
      <c r="I28" s="132"/>
      <c r="J28" s="132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3"/>
      <c r="H29" s="57"/>
      <c r="I29" s="120"/>
      <c r="J29" s="120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276</v>
      </c>
      <c r="D30" s="94"/>
      <c r="E30" s="96" t="s">
        <v>228</v>
      </c>
      <c r="F30" s="96"/>
      <c r="G30" s="96" t="s">
        <v>229</v>
      </c>
      <c r="H30" s="95" t="s">
        <v>230</v>
      </c>
      <c r="I30" s="123" t="s">
        <v>231</v>
      </c>
      <c r="J30" s="123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84" t="s">
        <v>0</v>
      </c>
      <c r="H31" s="85">
        <v>15</v>
      </c>
      <c r="I31" s="141">
        <v>0</v>
      </c>
      <c r="J31" s="141"/>
      <c r="K31" s="142">
        <f>+H31*R31</f>
        <v>0</v>
      </c>
      <c r="L31" s="142"/>
      <c r="M31" s="142"/>
      <c r="N31" s="4"/>
      <c r="Q31" s="153">
        <f>+INT(I31/3)</f>
        <v>0</v>
      </c>
      <c r="R31" s="153">
        <f>+I31-Q31</f>
        <v>0</v>
      </c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82" t="s">
        <v>0</v>
      </c>
      <c r="H32" s="83">
        <v>15</v>
      </c>
      <c r="I32" s="141">
        <v>0</v>
      </c>
      <c r="J32" s="141"/>
      <c r="K32" s="142">
        <f>+H32*R32</f>
        <v>0</v>
      </c>
      <c r="L32" s="142"/>
      <c r="M32" s="142"/>
      <c r="N32" s="4"/>
      <c r="Q32" s="153">
        <f>+INT(I32/3)</f>
        <v>0</v>
      </c>
      <c r="R32" s="153">
        <f>+I32-Q32</f>
        <v>0</v>
      </c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84" t="s">
        <v>0</v>
      </c>
      <c r="H33" s="85">
        <v>15</v>
      </c>
      <c r="I33" s="141">
        <v>0</v>
      </c>
      <c r="J33" s="141"/>
      <c r="K33" s="142">
        <f>+H33*R33</f>
        <v>0</v>
      </c>
      <c r="L33" s="142"/>
      <c r="M33" s="142"/>
      <c r="N33" s="4"/>
      <c r="Q33" s="153">
        <f>+INT(I33/3)</f>
        <v>0</v>
      </c>
      <c r="R33" s="153">
        <f>+I33-Q33</f>
        <v>0</v>
      </c>
    </row>
    <row r="34" spans="2:18">
      <c r="B34" s="75"/>
      <c r="C34" s="76"/>
      <c r="D34" s="77"/>
      <c r="E34" s="77"/>
      <c r="F34" s="77"/>
      <c r="G34" s="77"/>
      <c r="H34" s="78"/>
      <c r="I34" s="132"/>
      <c r="J34" s="132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3"/>
      <c r="H35" s="57"/>
      <c r="I35" s="120"/>
      <c r="J35" s="120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276</v>
      </c>
      <c r="D36" s="94"/>
      <c r="E36" s="96" t="s">
        <v>228</v>
      </c>
      <c r="F36" s="96"/>
      <c r="G36" s="96" t="s">
        <v>229</v>
      </c>
      <c r="H36" s="95" t="s">
        <v>230</v>
      </c>
      <c r="I36" s="123" t="s">
        <v>231</v>
      </c>
      <c r="J36" s="123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84" t="s">
        <v>0</v>
      </c>
      <c r="H37" s="85">
        <v>18</v>
      </c>
      <c r="I37" s="141">
        <v>0</v>
      </c>
      <c r="J37" s="141"/>
      <c r="K37" s="142">
        <f t="shared" ref="K37:K40" si="0">+H37*I37</f>
        <v>0</v>
      </c>
      <c r="L37" s="142"/>
      <c r="M37" s="142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82" t="s">
        <v>0</v>
      </c>
      <c r="H38" s="83">
        <v>18</v>
      </c>
      <c r="I38" s="141">
        <v>0</v>
      </c>
      <c r="J38" s="141"/>
      <c r="K38" s="143">
        <f t="shared" si="0"/>
        <v>0</v>
      </c>
      <c r="L38" s="143"/>
      <c r="M38" s="143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84" t="s">
        <v>0</v>
      </c>
      <c r="H39" s="85">
        <v>18</v>
      </c>
      <c r="I39" s="141">
        <v>0</v>
      </c>
      <c r="J39" s="141"/>
      <c r="K39" s="142">
        <f t="shared" si="0"/>
        <v>0</v>
      </c>
      <c r="L39" s="142"/>
      <c r="M39" s="142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82" t="s">
        <v>0</v>
      </c>
      <c r="H40" s="83">
        <v>18</v>
      </c>
      <c r="I40" s="141">
        <v>0</v>
      </c>
      <c r="J40" s="141"/>
      <c r="K40" s="143">
        <f t="shared" si="0"/>
        <v>0</v>
      </c>
      <c r="L40" s="143"/>
      <c r="M40" s="143"/>
      <c r="N40" s="4"/>
    </row>
    <row r="41" spans="2:18">
      <c r="B41" s="75"/>
      <c r="C41" s="76"/>
      <c r="D41" s="77"/>
      <c r="E41" s="77"/>
      <c r="F41" s="77"/>
      <c r="G41" s="77"/>
      <c r="H41" s="78"/>
      <c r="I41" s="132"/>
      <c r="J41" s="132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3"/>
      <c r="H42" s="57"/>
      <c r="I42" s="120"/>
      <c r="J42" s="120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276</v>
      </c>
      <c r="D43" s="94"/>
      <c r="E43" s="96" t="s">
        <v>228</v>
      </c>
      <c r="F43" s="96"/>
      <c r="G43" s="96" t="s">
        <v>229</v>
      </c>
      <c r="H43" s="95" t="s">
        <v>230</v>
      </c>
      <c r="I43" s="123" t="s">
        <v>231</v>
      </c>
      <c r="J43" s="123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84" t="s">
        <v>0</v>
      </c>
      <c r="H44" s="85">
        <v>18</v>
      </c>
      <c r="I44" s="141">
        <v>0</v>
      </c>
      <c r="J44" s="141"/>
      <c r="K44" s="142">
        <f t="shared" ref="K44:K48" si="1">+H44*I44</f>
        <v>0</v>
      </c>
      <c r="L44" s="142"/>
      <c r="M44" s="142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82" t="s">
        <v>0</v>
      </c>
      <c r="H45" s="83">
        <v>18</v>
      </c>
      <c r="I45" s="141">
        <v>0</v>
      </c>
      <c r="J45" s="141"/>
      <c r="K45" s="143">
        <f t="shared" si="1"/>
        <v>0</v>
      </c>
      <c r="L45" s="143"/>
      <c r="M45" s="143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84" t="s">
        <v>0</v>
      </c>
      <c r="H46" s="85">
        <v>18</v>
      </c>
      <c r="I46" s="141">
        <v>0</v>
      </c>
      <c r="J46" s="141"/>
      <c r="K46" s="142">
        <f t="shared" si="1"/>
        <v>0</v>
      </c>
      <c r="L46" s="142"/>
      <c r="M46" s="142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82" t="s">
        <v>0</v>
      </c>
      <c r="H47" s="83">
        <v>18</v>
      </c>
      <c r="I47" s="141">
        <v>0</v>
      </c>
      <c r="J47" s="141"/>
      <c r="K47" s="143">
        <f t="shared" si="1"/>
        <v>0</v>
      </c>
      <c r="L47" s="143"/>
      <c r="M47" s="143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84" t="s">
        <v>0</v>
      </c>
      <c r="H48" s="85">
        <v>18</v>
      </c>
      <c r="I48" s="141">
        <v>0</v>
      </c>
      <c r="J48" s="141"/>
      <c r="K48" s="142">
        <f t="shared" si="1"/>
        <v>0</v>
      </c>
      <c r="L48" s="142"/>
      <c r="M48" s="142"/>
      <c r="N48" s="4"/>
    </row>
    <row r="49" spans="2:18">
      <c r="B49" s="76"/>
      <c r="C49" s="76"/>
      <c r="D49" s="77"/>
      <c r="E49" s="77"/>
      <c r="F49" s="77"/>
      <c r="G49" s="77"/>
      <c r="H49" s="78"/>
      <c r="I49" s="132"/>
      <c r="J49" s="132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3"/>
      <c r="H50" s="57"/>
      <c r="I50" s="120"/>
      <c r="J50" s="120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276</v>
      </c>
      <c r="D51" s="94"/>
      <c r="E51" s="96" t="s">
        <v>228</v>
      </c>
      <c r="F51" s="96"/>
      <c r="G51" s="96" t="s">
        <v>229</v>
      </c>
      <c r="H51" s="95" t="s">
        <v>230</v>
      </c>
      <c r="I51" s="123" t="s">
        <v>231</v>
      </c>
      <c r="J51" s="123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84" t="s">
        <v>0</v>
      </c>
      <c r="H52" s="85">
        <v>15</v>
      </c>
      <c r="I52" s="141">
        <v>0</v>
      </c>
      <c r="J52" s="141"/>
      <c r="K52" s="142">
        <f>+H52*R52</f>
        <v>0</v>
      </c>
      <c r="L52" s="142"/>
      <c r="M52" s="142"/>
      <c r="N52" s="4"/>
      <c r="Q52" s="153">
        <f>+INT(I52/3)</f>
        <v>0</v>
      </c>
      <c r="R52" s="153">
        <f>+I52-Q52</f>
        <v>0</v>
      </c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82" t="s">
        <v>0</v>
      </c>
      <c r="H53" s="83">
        <v>15</v>
      </c>
      <c r="I53" s="141">
        <v>0</v>
      </c>
      <c r="J53" s="141"/>
      <c r="K53" s="142">
        <f>+H53*R53</f>
        <v>0</v>
      </c>
      <c r="L53" s="142"/>
      <c r="M53" s="142"/>
      <c r="N53" s="4"/>
      <c r="Q53" s="153">
        <f>+INT(I53/3)</f>
        <v>0</v>
      </c>
      <c r="R53" s="153">
        <f>+I53-Q53</f>
        <v>0</v>
      </c>
    </row>
    <row r="54" spans="2:18">
      <c r="B54" s="54" t="s">
        <v>84</v>
      </c>
      <c r="C54" s="40" t="s">
        <v>245</v>
      </c>
      <c r="D54" s="7"/>
      <c r="E54" s="22" t="s">
        <v>246</v>
      </c>
      <c r="F54" s="7"/>
      <c r="G54" s="82" t="s">
        <v>0</v>
      </c>
      <c r="H54" s="83">
        <v>30</v>
      </c>
      <c r="I54" s="141">
        <v>0</v>
      </c>
      <c r="J54" s="141"/>
      <c r="K54" s="142">
        <f>+H54*R54</f>
        <v>0</v>
      </c>
      <c r="L54" s="142"/>
      <c r="M54" s="142"/>
      <c r="N54" s="4"/>
      <c r="Q54" s="153">
        <f>+INT(I54/3)</f>
        <v>0</v>
      </c>
      <c r="R54" s="153">
        <f>+I54-Q54</f>
        <v>0</v>
      </c>
    </row>
    <row r="55" spans="2:18">
      <c r="B55" s="54" t="s">
        <v>85</v>
      </c>
      <c r="C55" s="39" t="s">
        <v>88</v>
      </c>
      <c r="D55" s="11"/>
      <c r="E55" s="25" t="s">
        <v>247</v>
      </c>
      <c r="F55" s="11"/>
      <c r="G55" s="84" t="s">
        <v>0</v>
      </c>
      <c r="H55" s="85">
        <v>24</v>
      </c>
      <c r="I55" s="141">
        <v>0</v>
      </c>
      <c r="J55" s="141"/>
      <c r="K55" s="142">
        <f>+H55*R55</f>
        <v>0</v>
      </c>
      <c r="L55" s="142"/>
      <c r="M55" s="142"/>
      <c r="N55" s="4"/>
      <c r="Q55" s="153">
        <f>+INT(I55/3)</f>
        <v>0</v>
      </c>
      <c r="R55" s="153">
        <f>+I55-Q55</f>
        <v>0</v>
      </c>
    </row>
    <row r="56" spans="2:18">
      <c r="B56" s="54" t="s">
        <v>86</v>
      </c>
      <c r="C56" s="40" t="s">
        <v>89</v>
      </c>
      <c r="D56" s="7"/>
      <c r="E56" s="22" t="s">
        <v>248</v>
      </c>
      <c r="F56" s="7"/>
      <c r="G56" s="82" t="s">
        <v>0</v>
      </c>
      <c r="H56" s="83">
        <v>18</v>
      </c>
      <c r="I56" s="141">
        <v>0</v>
      </c>
      <c r="J56" s="141"/>
      <c r="K56" s="142">
        <f>+H56*R56</f>
        <v>0</v>
      </c>
      <c r="L56" s="142"/>
      <c r="M56" s="142"/>
      <c r="N56" s="4"/>
      <c r="Q56" s="153">
        <f>+INT(I56/3)</f>
        <v>0</v>
      </c>
      <c r="R56" s="153">
        <f>+I56-Q56</f>
        <v>0</v>
      </c>
    </row>
    <row r="57" spans="2:18">
      <c r="B57" s="54" t="s">
        <v>87</v>
      </c>
      <c r="C57" s="39" t="s">
        <v>90</v>
      </c>
      <c r="D57" s="11"/>
      <c r="E57" s="25" t="s">
        <v>249</v>
      </c>
      <c r="F57" s="11"/>
      <c r="G57" s="84" t="s">
        <v>0</v>
      </c>
      <c r="H57" s="85">
        <v>18</v>
      </c>
      <c r="I57" s="141">
        <v>0</v>
      </c>
      <c r="J57" s="141"/>
      <c r="K57" s="142">
        <f>+H57*R57</f>
        <v>0</v>
      </c>
      <c r="L57" s="142"/>
      <c r="M57" s="142"/>
      <c r="N57" s="4"/>
      <c r="Q57" s="153">
        <f>+INT(I57/3)</f>
        <v>0</v>
      </c>
      <c r="R57" s="153">
        <f>+I57-Q57</f>
        <v>0</v>
      </c>
    </row>
    <row r="58" spans="2:18">
      <c r="B58" s="75"/>
      <c r="C58" s="76"/>
      <c r="D58" s="77"/>
      <c r="E58" s="77"/>
      <c r="F58" s="77"/>
      <c r="G58" s="77"/>
      <c r="H58" s="78"/>
      <c r="I58" s="132"/>
      <c r="J58" s="132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233</v>
      </c>
      <c r="D59" s="2"/>
      <c r="E59" s="3"/>
      <c r="F59" s="3"/>
      <c r="G59" s="3"/>
      <c r="H59" s="57"/>
      <c r="I59" s="120"/>
      <c r="J59" s="120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276</v>
      </c>
      <c r="D60" s="94"/>
      <c r="E60" s="96" t="s">
        <v>228</v>
      </c>
      <c r="F60" s="96"/>
      <c r="G60" s="96" t="s">
        <v>229</v>
      </c>
      <c r="H60" s="95" t="s">
        <v>230</v>
      </c>
      <c r="I60" s="123" t="s">
        <v>231</v>
      </c>
      <c r="J60" s="123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86" t="s">
        <v>2</v>
      </c>
      <c r="H61" s="87">
        <v>6</v>
      </c>
      <c r="I61" s="141">
        <v>0</v>
      </c>
      <c r="J61" s="141"/>
      <c r="K61" s="145">
        <f t="shared" ref="K61:K64" si="2">+H61*I61</f>
        <v>0</v>
      </c>
      <c r="L61" s="145"/>
      <c r="M61" s="145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88" t="s">
        <v>2</v>
      </c>
      <c r="H62" s="89">
        <v>6</v>
      </c>
      <c r="I62" s="141">
        <v>0</v>
      </c>
      <c r="J62" s="141"/>
      <c r="K62" s="146">
        <f t="shared" si="2"/>
        <v>0</v>
      </c>
      <c r="L62" s="146"/>
      <c r="M62" s="146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86" t="s">
        <v>2</v>
      </c>
      <c r="H63" s="87">
        <v>6</v>
      </c>
      <c r="I63" s="141">
        <v>0</v>
      </c>
      <c r="J63" s="141"/>
      <c r="K63" s="145">
        <f t="shared" si="2"/>
        <v>0</v>
      </c>
      <c r="L63" s="145"/>
      <c r="M63" s="145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88" t="s">
        <v>2</v>
      </c>
      <c r="H64" s="89">
        <v>6</v>
      </c>
      <c r="I64" s="141">
        <v>0</v>
      </c>
      <c r="J64" s="141"/>
      <c r="K64" s="146">
        <f t="shared" si="2"/>
        <v>0</v>
      </c>
      <c r="L64" s="146"/>
      <c r="M64" s="146"/>
      <c r="N64" s="4"/>
    </row>
    <row r="65" spans="2:18">
      <c r="B65" s="75"/>
      <c r="C65" s="76"/>
      <c r="D65" s="77"/>
      <c r="E65" s="77"/>
      <c r="F65" s="77"/>
      <c r="G65" s="77"/>
      <c r="H65" s="78"/>
      <c r="I65" s="132"/>
      <c r="J65" s="132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91</v>
      </c>
      <c r="D66" s="2"/>
      <c r="E66" s="3"/>
      <c r="F66" s="3"/>
      <c r="G66" s="3"/>
      <c r="H66" s="57"/>
      <c r="I66" s="120"/>
      <c r="J66" s="120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276</v>
      </c>
      <c r="D67" s="94"/>
      <c r="E67" s="96" t="s">
        <v>228</v>
      </c>
      <c r="F67" s="96"/>
      <c r="G67" s="96" t="s">
        <v>229</v>
      </c>
      <c r="H67" s="95" t="s">
        <v>230</v>
      </c>
      <c r="I67" s="123" t="s">
        <v>231</v>
      </c>
      <c r="J67" s="123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90" t="s">
        <v>96</v>
      </c>
      <c r="H68" s="91">
        <v>20</v>
      </c>
      <c r="I68" s="141">
        <v>0</v>
      </c>
      <c r="J68" s="141"/>
      <c r="K68" s="147">
        <f t="shared" ref="K68:K69" si="3">+H68*I68</f>
        <v>0</v>
      </c>
      <c r="L68" s="147"/>
      <c r="M68" s="147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84" t="s">
        <v>96</v>
      </c>
      <c r="H69" s="85">
        <v>20</v>
      </c>
      <c r="I69" s="141">
        <v>0</v>
      </c>
      <c r="J69" s="141"/>
      <c r="K69" s="142">
        <f t="shared" si="3"/>
        <v>0</v>
      </c>
      <c r="L69" s="142"/>
      <c r="M69" s="142"/>
      <c r="N69" s="4"/>
    </row>
    <row r="70" spans="2:18">
      <c r="B70" s="75"/>
      <c r="C70" s="76"/>
      <c r="D70" s="77"/>
      <c r="E70" s="77"/>
      <c r="F70" s="77"/>
      <c r="G70" s="77"/>
      <c r="H70" s="78"/>
      <c r="I70" s="132"/>
      <c r="J70" s="132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3"/>
      <c r="H71" s="57"/>
      <c r="I71" s="120"/>
      <c r="J71" s="120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276</v>
      </c>
      <c r="D72" s="94"/>
      <c r="E72" s="96" t="s">
        <v>228</v>
      </c>
      <c r="F72" s="96"/>
      <c r="G72" s="96" t="s">
        <v>229</v>
      </c>
      <c r="H72" s="95" t="s">
        <v>230</v>
      </c>
      <c r="I72" s="123" t="s">
        <v>231</v>
      </c>
      <c r="J72" s="123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84" t="s">
        <v>0</v>
      </c>
      <c r="H73" s="85">
        <v>20</v>
      </c>
      <c r="I73" s="141">
        <v>0</v>
      </c>
      <c r="J73" s="141"/>
      <c r="K73" s="142">
        <f>+H73*R73</f>
        <v>0</v>
      </c>
      <c r="L73" s="142"/>
      <c r="M73" s="142"/>
      <c r="N73" s="4"/>
      <c r="Q73">
        <f>+INT(I73/3)</f>
        <v>0</v>
      </c>
      <c r="R73">
        <f>+I73-Q73</f>
        <v>0</v>
      </c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82" t="s">
        <v>0</v>
      </c>
      <c r="H74" s="83">
        <v>20</v>
      </c>
      <c r="I74" s="141">
        <v>0</v>
      </c>
      <c r="J74" s="141"/>
      <c r="K74" s="142">
        <f>+H74*R74</f>
        <v>0</v>
      </c>
      <c r="L74" s="142"/>
      <c r="M74" s="142"/>
      <c r="N74" s="4"/>
      <c r="Q74">
        <f>+INT(I74/3)</f>
        <v>0</v>
      </c>
      <c r="R74">
        <f>+I74-Q74</f>
        <v>0</v>
      </c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84" t="s">
        <v>0</v>
      </c>
      <c r="H75" s="85">
        <v>20</v>
      </c>
      <c r="I75" s="141">
        <v>0</v>
      </c>
      <c r="J75" s="141"/>
      <c r="K75" s="142">
        <f>+H75*R75</f>
        <v>0</v>
      </c>
      <c r="L75" s="142"/>
      <c r="M75" s="142"/>
      <c r="N75" s="4"/>
      <c r="Q75">
        <f>+INT(I75/3)</f>
        <v>0</v>
      </c>
      <c r="R75">
        <f>+I75-Q75</f>
        <v>0</v>
      </c>
    </row>
    <row r="76" spans="2:18">
      <c r="B76" s="75"/>
      <c r="C76" s="76"/>
      <c r="D76" s="77"/>
      <c r="E76" s="77"/>
      <c r="F76" s="77"/>
      <c r="G76" s="77"/>
      <c r="H76" s="78"/>
      <c r="I76" s="132"/>
      <c r="J76" s="132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119</v>
      </c>
      <c r="D77" s="2"/>
      <c r="E77" s="3"/>
      <c r="F77" s="3"/>
      <c r="G77" s="3"/>
      <c r="H77" s="57"/>
      <c r="I77" s="120"/>
      <c r="J77" s="120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276</v>
      </c>
      <c r="D78" s="94"/>
      <c r="E78" s="96" t="s">
        <v>228</v>
      </c>
      <c r="F78" s="96"/>
      <c r="G78" s="96" t="s">
        <v>229</v>
      </c>
      <c r="H78" s="95" t="s">
        <v>230</v>
      </c>
      <c r="I78" s="123" t="s">
        <v>231</v>
      </c>
      <c r="J78" s="123"/>
      <c r="K78" s="96"/>
      <c r="L78" s="96"/>
      <c r="M78" s="96"/>
      <c r="N78" s="19"/>
    </row>
    <row r="79" spans="2:18">
      <c r="B79" s="54" t="s">
        <v>103</v>
      </c>
      <c r="C79" s="46" t="s">
        <v>108</v>
      </c>
      <c r="E79" s="100" t="s">
        <v>112</v>
      </c>
      <c r="F79" s="7"/>
      <c r="G79" s="82" t="s">
        <v>107</v>
      </c>
      <c r="H79" s="83">
        <v>8</v>
      </c>
      <c r="I79" s="141">
        <v>0</v>
      </c>
      <c r="J79" s="141"/>
      <c r="K79" s="143">
        <f t="shared" ref="K79:K82" si="4">+H79*I79</f>
        <v>0</v>
      </c>
      <c r="L79" s="143"/>
      <c r="M79" s="143"/>
      <c r="N79" s="4"/>
    </row>
    <row r="80" spans="2:18">
      <c r="B80" s="54" t="s">
        <v>104</v>
      </c>
      <c r="C80" s="47" t="s">
        <v>109</v>
      </c>
      <c r="D80" s="33"/>
      <c r="E80" s="99" t="s">
        <v>112</v>
      </c>
      <c r="F80" s="9"/>
      <c r="G80" s="80" t="s">
        <v>107</v>
      </c>
      <c r="H80" s="81">
        <v>8</v>
      </c>
      <c r="I80" s="141">
        <v>0</v>
      </c>
      <c r="J80" s="141"/>
      <c r="K80" s="144">
        <f t="shared" si="4"/>
        <v>0</v>
      </c>
      <c r="L80" s="144"/>
      <c r="M80" s="144"/>
      <c r="N80" s="4"/>
    </row>
    <row r="81" spans="2:18">
      <c r="B81" s="54" t="s">
        <v>105</v>
      </c>
      <c r="C81" s="46" t="s">
        <v>110</v>
      </c>
      <c r="E81" s="100" t="s">
        <v>112</v>
      </c>
      <c r="F81" s="7"/>
      <c r="G81" s="82" t="s">
        <v>107</v>
      </c>
      <c r="H81" s="83">
        <v>8</v>
      </c>
      <c r="I81" s="141">
        <v>0</v>
      </c>
      <c r="J81" s="141"/>
      <c r="K81" s="143">
        <f t="shared" si="4"/>
        <v>0</v>
      </c>
      <c r="L81" s="143"/>
      <c r="M81" s="143"/>
      <c r="N81" s="4"/>
    </row>
    <row r="82" spans="2:18">
      <c r="B82" s="54" t="s">
        <v>106</v>
      </c>
      <c r="C82" s="47" t="s">
        <v>111</v>
      </c>
      <c r="D82" s="33"/>
      <c r="E82" s="99" t="s">
        <v>112</v>
      </c>
      <c r="F82" s="9"/>
      <c r="G82" s="80" t="s">
        <v>253</v>
      </c>
      <c r="H82" s="81">
        <v>8</v>
      </c>
      <c r="I82" s="141">
        <v>0</v>
      </c>
      <c r="J82" s="141"/>
      <c r="K82" s="144">
        <f t="shared" si="4"/>
        <v>0</v>
      </c>
      <c r="L82" s="144"/>
      <c r="M82" s="144"/>
      <c r="N82" s="4"/>
    </row>
    <row r="83" spans="2:18">
      <c r="B83" s="54" t="s">
        <v>258</v>
      </c>
      <c r="C83" s="46" t="s">
        <v>115</v>
      </c>
      <c r="E83" s="100" t="s">
        <v>113</v>
      </c>
      <c r="F83" s="7"/>
      <c r="G83" s="82" t="s">
        <v>114</v>
      </c>
      <c r="H83" s="83">
        <v>6</v>
      </c>
      <c r="I83" s="141">
        <v>0</v>
      </c>
      <c r="J83" s="141"/>
      <c r="K83" s="143">
        <f t="shared" ref="K83:K86" si="5">+H83*I83</f>
        <v>0</v>
      </c>
      <c r="L83" s="143"/>
      <c r="M83" s="143"/>
      <c r="N83" s="4"/>
    </row>
    <row r="84" spans="2:18">
      <c r="B84" s="54" t="s">
        <v>259</v>
      </c>
      <c r="C84" s="47" t="s">
        <v>116</v>
      </c>
      <c r="D84" s="33"/>
      <c r="E84" s="99" t="s">
        <v>113</v>
      </c>
      <c r="F84" s="9"/>
      <c r="G84" s="80" t="s">
        <v>114</v>
      </c>
      <c r="H84" s="81">
        <v>6</v>
      </c>
      <c r="I84" s="141">
        <v>0</v>
      </c>
      <c r="J84" s="141"/>
      <c r="K84" s="144">
        <f t="shared" si="5"/>
        <v>0</v>
      </c>
      <c r="L84" s="144"/>
      <c r="M84" s="144"/>
      <c r="N84" s="4"/>
    </row>
    <row r="85" spans="2:18">
      <c r="B85" s="54" t="s">
        <v>260</v>
      </c>
      <c r="C85" s="46" t="s">
        <v>117</v>
      </c>
      <c r="E85" s="100" t="s">
        <v>113</v>
      </c>
      <c r="F85" s="7"/>
      <c r="G85" s="82" t="s">
        <v>114</v>
      </c>
      <c r="H85" s="83">
        <v>6</v>
      </c>
      <c r="I85" s="141">
        <v>0</v>
      </c>
      <c r="J85" s="141"/>
      <c r="K85" s="143">
        <f t="shared" si="5"/>
        <v>0</v>
      </c>
      <c r="L85" s="143"/>
      <c r="M85" s="143"/>
      <c r="N85" s="4"/>
    </row>
    <row r="86" spans="2:18">
      <c r="B86" s="54" t="s">
        <v>261</v>
      </c>
      <c r="C86" s="47" t="s">
        <v>118</v>
      </c>
      <c r="D86" s="33"/>
      <c r="E86" s="99" t="s">
        <v>113</v>
      </c>
      <c r="F86" s="9"/>
      <c r="G86" s="80" t="s">
        <v>114</v>
      </c>
      <c r="H86" s="81">
        <v>6</v>
      </c>
      <c r="I86" s="141">
        <v>0</v>
      </c>
      <c r="J86" s="141"/>
      <c r="K86" s="144">
        <f t="shared" si="5"/>
        <v>0</v>
      </c>
      <c r="L86" s="144"/>
      <c r="M86" s="144"/>
      <c r="N86" s="4"/>
    </row>
    <row r="87" spans="2:18">
      <c r="B87" s="76"/>
      <c r="C87" s="76"/>
      <c r="D87" s="77"/>
      <c r="E87" s="77"/>
      <c r="F87" s="77"/>
      <c r="G87" s="77"/>
      <c r="H87" s="78"/>
      <c r="I87" s="132"/>
      <c r="J87" s="132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254</v>
      </c>
      <c r="D88" s="2"/>
      <c r="E88" s="3"/>
      <c r="F88" s="3"/>
      <c r="G88" s="3"/>
      <c r="H88" s="57"/>
      <c r="I88" s="120"/>
      <c r="J88" s="120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276</v>
      </c>
      <c r="D89" s="94"/>
      <c r="E89" s="96" t="s">
        <v>228</v>
      </c>
      <c r="F89" s="96"/>
      <c r="G89" s="96" t="s">
        <v>229</v>
      </c>
      <c r="H89" s="95" t="s">
        <v>230</v>
      </c>
      <c r="I89" s="123" t="s">
        <v>231</v>
      </c>
      <c r="J89" s="123"/>
      <c r="K89" s="96"/>
      <c r="L89" s="96"/>
      <c r="M89" s="96"/>
      <c r="N89" s="19"/>
    </row>
    <row r="90" spans="2:18">
      <c r="B90" s="54" t="s">
        <v>125</v>
      </c>
      <c r="C90" s="46" t="s">
        <v>120</v>
      </c>
      <c r="D90" s="20"/>
      <c r="E90" s="7"/>
      <c r="F90" s="7"/>
      <c r="G90" s="82" t="s">
        <v>123</v>
      </c>
      <c r="H90" s="83">
        <v>6</v>
      </c>
      <c r="I90" s="141">
        <v>0</v>
      </c>
      <c r="J90" s="141"/>
      <c r="K90" s="143">
        <f t="shared" ref="K90:K95" si="6">+H90*I90</f>
        <v>0</v>
      </c>
      <c r="L90" s="143"/>
      <c r="M90" s="143"/>
      <c r="N90" s="4"/>
    </row>
    <row r="91" spans="2:18">
      <c r="B91" s="54" t="s">
        <v>126</v>
      </c>
      <c r="C91" s="47" t="s">
        <v>255</v>
      </c>
      <c r="D91" s="33"/>
      <c r="E91" s="9"/>
      <c r="F91" s="9"/>
      <c r="G91" s="80" t="s">
        <v>256</v>
      </c>
      <c r="H91" s="81">
        <v>6</v>
      </c>
      <c r="I91" s="141">
        <v>0</v>
      </c>
      <c r="J91" s="141"/>
      <c r="K91" s="144">
        <f t="shared" si="6"/>
        <v>0</v>
      </c>
      <c r="L91" s="144"/>
      <c r="M91" s="144"/>
      <c r="N91" s="4"/>
    </row>
    <row r="92" spans="2:18">
      <c r="B92" s="54" t="s">
        <v>127</v>
      </c>
      <c r="C92" s="46" t="s">
        <v>121</v>
      </c>
      <c r="D92" s="20"/>
      <c r="E92" s="7"/>
      <c r="F92" s="7"/>
      <c r="G92" s="82" t="s">
        <v>15</v>
      </c>
      <c r="H92" s="83">
        <v>6</v>
      </c>
      <c r="I92" s="141">
        <v>0</v>
      </c>
      <c r="J92" s="141"/>
      <c r="K92" s="143">
        <f t="shared" si="6"/>
        <v>0</v>
      </c>
      <c r="L92" s="143"/>
      <c r="M92" s="143"/>
      <c r="N92" s="4"/>
    </row>
    <row r="93" spans="2:18">
      <c r="B93" s="54" t="s">
        <v>128</v>
      </c>
      <c r="C93" s="47" t="s">
        <v>121</v>
      </c>
      <c r="D93" s="33"/>
      <c r="E93" s="9"/>
      <c r="F93" s="9"/>
      <c r="G93" s="80" t="s">
        <v>124</v>
      </c>
      <c r="H93" s="81">
        <v>3.5</v>
      </c>
      <c r="I93" s="141">
        <v>0</v>
      </c>
      <c r="J93" s="141"/>
      <c r="K93" s="144">
        <f t="shared" si="6"/>
        <v>0</v>
      </c>
      <c r="L93" s="144"/>
      <c r="M93" s="144"/>
      <c r="N93" s="4"/>
    </row>
    <row r="94" spans="2:18">
      <c r="B94" s="54" t="s">
        <v>129</v>
      </c>
      <c r="C94" s="46" t="s">
        <v>122</v>
      </c>
      <c r="D94" s="20"/>
      <c r="E94" s="7"/>
      <c r="F94" s="7"/>
      <c r="G94" s="82" t="s">
        <v>15</v>
      </c>
      <c r="H94" s="83">
        <v>6</v>
      </c>
      <c r="I94" s="141">
        <v>0</v>
      </c>
      <c r="J94" s="141"/>
      <c r="K94" s="143">
        <f t="shared" si="6"/>
        <v>0</v>
      </c>
      <c r="L94" s="143"/>
      <c r="M94" s="143"/>
      <c r="N94" s="4"/>
    </row>
    <row r="95" spans="2:18">
      <c r="B95" s="54" t="s">
        <v>130</v>
      </c>
      <c r="C95" s="47" t="s">
        <v>122</v>
      </c>
      <c r="D95" s="33"/>
      <c r="E95" s="9"/>
      <c r="F95" s="9"/>
      <c r="G95" s="80" t="s">
        <v>124</v>
      </c>
      <c r="H95" s="81">
        <v>3.5</v>
      </c>
      <c r="I95" s="141">
        <v>0</v>
      </c>
      <c r="J95" s="141"/>
      <c r="K95" s="144">
        <f t="shared" si="6"/>
        <v>0</v>
      </c>
      <c r="L95" s="144"/>
      <c r="M95" s="144"/>
      <c r="N95" s="4"/>
    </row>
    <row r="96" spans="2:18">
      <c r="B96" s="76"/>
      <c r="C96" s="76"/>
      <c r="D96" s="77"/>
      <c r="E96" s="77"/>
      <c r="F96" s="77"/>
      <c r="G96" s="77"/>
      <c r="H96" s="78"/>
      <c r="I96" s="132"/>
      <c r="J96" s="132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3"/>
      <c r="H97" s="57"/>
      <c r="I97" s="120"/>
      <c r="J97" s="120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276</v>
      </c>
      <c r="D98" s="94"/>
      <c r="E98" s="96" t="s">
        <v>228</v>
      </c>
      <c r="F98" s="96"/>
      <c r="G98" s="96" t="s">
        <v>229</v>
      </c>
      <c r="H98" s="95" t="s">
        <v>230</v>
      </c>
      <c r="I98" s="123" t="s">
        <v>231</v>
      </c>
      <c r="J98" s="123"/>
      <c r="K98" s="96"/>
      <c r="L98" s="96"/>
      <c r="M98" s="96"/>
      <c r="N98" s="19"/>
    </row>
    <row r="99" spans="2:18">
      <c r="B99" s="54" t="s">
        <v>133</v>
      </c>
      <c r="C99" s="65" t="s">
        <v>39</v>
      </c>
      <c r="D99" s="66" t="s">
        <v>1</v>
      </c>
      <c r="E99" s="8" t="s">
        <v>42</v>
      </c>
      <c r="F99" s="9"/>
      <c r="G99" s="80" t="s">
        <v>131</v>
      </c>
      <c r="H99" s="81">
        <v>55</v>
      </c>
      <c r="I99" s="141">
        <v>0</v>
      </c>
      <c r="J99" s="141"/>
      <c r="K99" s="144">
        <f t="shared" ref="K99:K100" si="7">+H99*I99</f>
        <v>0</v>
      </c>
      <c r="L99" s="144"/>
      <c r="M99" s="144"/>
      <c r="N99" s="4"/>
    </row>
    <row r="100" spans="2:18">
      <c r="B100" s="54" t="s">
        <v>134</v>
      </c>
      <c r="C100" s="36" t="s">
        <v>39</v>
      </c>
      <c r="D100" s="7"/>
      <c r="E100" s="22" t="s">
        <v>42</v>
      </c>
      <c r="F100" s="7"/>
      <c r="G100" s="82" t="s">
        <v>132</v>
      </c>
      <c r="H100" s="83">
        <v>37.5</v>
      </c>
      <c r="I100" s="141">
        <v>0</v>
      </c>
      <c r="J100" s="141"/>
      <c r="K100" s="143">
        <f t="shared" si="7"/>
        <v>0</v>
      </c>
      <c r="L100" s="143"/>
      <c r="M100" s="143"/>
      <c r="N100" s="4"/>
    </row>
    <row r="101" spans="2:18">
      <c r="B101" s="54" t="s">
        <v>135</v>
      </c>
      <c r="C101" s="65" t="s">
        <v>39</v>
      </c>
      <c r="D101" s="66" t="s">
        <v>1</v>
      </c>
      <c r="E101" s="8" t="s">
        <v>41</v>
      </c>
      <c r="F101" s="9"/>
      <c r="G101" s="80" t="s">
        <v>40</v>
      </c>
      <c r="H101" s="81">
        <v>9</v>
      </c>
      <c r="I101" s="141">
        <v>0</v>
      </c>
      <c r="J101" s="141"/>
      <c r="K101" s="144">
        <f t="shared" ref="K101" si="8">+H101*I101</f>
        <v>0</v>
      </c>
      <c r="L101" s="144"/>
      <c r="M101" s="144"/>
      <c r="N101" s="4"/>
    </row>
    <row r="102" spans="2:18">
      <c r="B102" s="75"/>
      <c r="C102" s="76"/>
      <c r="D102" s="77"/>
      <c r="E102" s="77"/>
      <c r="F102" s="77"/>
      <c r="G102" s="77"/>
      <c r="H102" s="78"/>
      <c r="I102" s="141">
        <v>0</v>
      </c>
      <c r="J102" s="141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45</v>
      </c>
      <c r="D103" s="1"/>
      <c r="E103" s="1"/>
      <c r="F103" s="1"/>
      <c r="G103" s="1"/>
      <c r="H103" s="57"/>
      <c r="I103" s="141">
        <v>0</v>
      </c>
      <c r="J103" s="141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276</v>
      </c>
      <c r="D104" s="94"/>
      <c r="E104" s="96" t="s">
        <v>228</v>
      </c>
      <c r="F104" s="96"/>
      <c r="G104" s="96" t="s">
        <v>229</v>
      </c>
      <c r="H104" s="95" t="s">
        <v>230</v>
      </c>
      <c r="I104" s="123" t="s">
        <v>231</v>
      </c>
      <c r="J104" s="123"/>
      <c r="K104" s="96"/>
      <c r="L104" s="96"/>
      <c r="M104" s="96"/>
      <c r="N104" s="19"/>
    </row>
    <row r="105" spans="2:18">
      <c r="B105" s="54" t="s">
        <v>136</v>
      </c>
      <c r="C105" s="48" t="s">
        <v>48</v>
      </c>
      <c r="E105" s="101" t="s">
        <v>47</v>
      </c>
      <c r="F105" s="10"/>
      <c r="G105" s="90" t="s">
        <v>22</v>
      </c>
      <c r="H105" s="93">
        <v>9</v>
      </c>
      <c r="I105" s="141">
        <v>0</v>
      </c>
      <c r="J105" s="141"/>
      <c r="K105" s="143">
        <f t="shared" ref="K105:K111" si="9">+H105*I105</f>
        <v>0</v>
      </c>
      <c r="L105" s="143"/>
      <c r="M105" s="143"/>
      <c r="N105" s="4"/>
    </row>
    <row r="106" spans="2:18">
      <c r="B106" s="54" t="s">
        <v>137</v>
      </c>
      <c r="C106" s="49" t="s">
        <v>48</v>
      </c>
      <c r="D106" s="31"/>
      <c r="E106" s="102" t="s">
        <v>46</v>
      </c>
      <c r="F106" s="11"/>
      <c r="G106" s="84" t="s">
        <v>22</v>
      </c>
      <c r="H106" s="85">
        <v>9</v>
      </c>
      <c r="I106" s="141">
        <v>0</v>
      </c>
      <c r="J106" s="141"/>
      <c r="K106" s="142">
        <f t="shared" si="9"/>
        <v>0</v>
      </c>
      <c r="L106" s="142"/>
      <c r="M106" s="142"/>
      <c r="N106" s="4"/>
    </row>
    <row r="107" spans="2:18">
      <c r="B107" s="54" t="s">
        <v>138</v>
      </c>
      <c r="C107" s="48" t="s">
        <v>48</v>
      </c>
      <c r="E107" s="103" t="s">
        <v>7</v>
      </c>
      <c r="F107" s="7"/>
      <c r="G107" s="90" t="s">
        <v>22</v>
      </c>
      <c r="H107" s="93">
        <v>9</v>
      </c>
      <c r="I107" s="141">
        <v>0</v>
      </c>
      <c r="J107" s="141"/>
      <c r="K107" s="143">
        <f t="shared" si="9"/>
        <v>0</v>
      </c>
      <c r="L107" s="143"/>
      <c r="M107" s="143"/>
      <c r="N107" s="4"/>
    </row>
    <row r="108" spans="2:18">
      <c r="B108" s="54" t="s">
        <v>139</v>
      </c>
      <c r="C108" s="49" t="s">
        <v>48</v>
      </c>
      <c r="D108" s="31"/>
      <c r="E108" s="102" t="s">
        <v>8</v>
      </c>
      <c r="F108" s="11"/>
      <c r="G108" s="84" t="s">
        <v>22</v>
      </c>
      <c r="H108" s="85">
        <v>9</v>
      </c>
      <c r="I108" s="141">
        <v>0</v>
      </c>
      <c r="J108" s="141"/>
      <c r="K108" s="142">
        <f t="shared" si="9"/>
        <v>0</v>
      </c>
      <c r="L108" s="142"/>
      <c r="M108" s="142"/>
      <c r="N108" s="4"/>
    </row>
    <row r="109" spans="2:18">
      <c r="B109" s="54" t="s">
        <v>140</v>
      </c>
      <c r="C109" s="48" t="s">
        <v>48</v>
      </c>
      <c r="E109" s="103" t="s">
        <v>9</v>
      </c>
      <c r="F109" s="10"/>
      <c r="G109" s="90" t="s">
        <v>22</v>
      </c>
      <c r="H109" s="93">
        <v>9</v>
      </c>
      <c r="I109" s="141">
        <v>0</v>
      </c>
      <c r="J109" s="141"/>
      <c r="K109" s="143">
        <f t="shared" si="9"/>
        <v>0</v>
      </c>
      <c r="L109" s="143"/>
      <c r="M109" s="143"/>
      <c r="N109" s="4"/>
    </row>
    <row r="110" spans="2:18">
      <c r="B110" s="54" t="s">
        <v>141</v>
      </c>
      <c r="C110" s="49" t="s">
        <v>48</v>
      </c>
      <c r="D110" s="31"/>
      <c r="E110" s="102" t="s">
        <v>10</v>
      </c>
      <c r="F110" s="11"/>
      <c r="G110" s="84" t="s">
        <v>22</v>
      </c>
      <c r="H110" s="85">
        <v>9</v>
      </c>
      <c r="I110" s="141">
        <v>0</v>
      </c>
      <c r="J110" s="141"/>
      <c r="K110" s="142">
        <f t="shared" si="9"/>
        <v>0</v>
      </c>
      <c r="L110" s="142"/>
      <c r="M110" s="142"/>
      <c r="N110" s="4"/>
    </row>
    <row r="111" spans="2:18">
      <c r="B111" s="54" t="s">
        <v>142</v>
      </c>
      <c r="C111" s="48" t="s">
        <v>48</v>
      </c>
      <c r="E111" s="103" t="s">
        <v>143</v>
      </c>
      <c r="F111" s="7"/>
      <c r="G111" s="82" t="s">
        <v>22</v>
      </c>
      <c r="H111" s="83">
        <v>9</v>
      </c>
      <c r="I111" s="141">
        <v>0</v>
      </c>
      <c r="J111" s="141"/>
      <c r="K111" s="143">
        <f t="shared" si="9"/>
        <v>0</v>
      </c>
      <c r="L111" s="143"/>
      <c r="M111" s="143"/>
      <c r="N111" s="4"/>
    </row>
    <row r="112" spans="2:18">
      <c r="B112" s="75"/>
      <c r="C112" s="76"/>
      <c r="D112" s="77"/>
      <c r="E112" s="77"/>
      <c r="F112" s="77"/>
      <c r="G112" s="77"/>
      <c r="H112" s="78"/>
      <c r="I112" s="132"/>
      <c r="J112" s="132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144</v>
      </c>
      <c r="D113" s="2"/>
      <c r="E113" s="3"/>
      <c r="F113" s="3"/>
      <c r="G113" s="3"/>
      <c r="H113" s="57"/>
      <c r="I113" s="120"/>
      <c r="J113" s="120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276</v>
      </c>
      <c r="D114" s="94"/>
      <c r="E114" s="96" t="s">
        <v>228</v>
      </c>
      <c r="F114" s="96"/>
      <c r="G114" s="96" t="s">
        <v>229</v>
      </c>
      <c r="H114" s="95" t="s">
        <v>230</v>
      </c>
      <c r="I114" s="123" t="s">
        <v>231</v>
      </c>
      <c r="J114" s="123"/>
      <c r="K114" s="96"/>
      <c r="L114" s="96"/>
      <c r="M114" s="96"/>
      <c r="N114" s="19"/>
    </row>
    <row r="115" spans="2:18">
      <c r="B115" s="54" t="s">
        <v>145</v>
      </c>
      <c r="C115" s="58" t="s">
        <v>147</v>
      </c>
      <c r="D115" s="9"/>
      <c r="E115" s="59"/>
      <c r="F115" s="9"/>
      <c r="G115" s="80" t="s">
        <v>21</v>
      </c>
      <c r="H115" s="81">
        <v>3.5</v>
      </c>
      <c r="I115" s="141">
        <v>0</v>
      </c>
      <c r="J115" s="141"/>
      <c r="K115" s="144">
        <f t="shared" ref="K115:K116" si="10">+H115*I115</f>
        <v>0</v>
      </c>
      <c r="L115" s="144"/>
      <c r="M115" s="144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82" t="s">
        <v>21</v>
      </c>
      <c r="H116" s="83">
        <v>3.5</v>
      </c>
      <c r="I116" s="141">
        <v>0</v>
      </c>
      <c r="J116" s="141"/>
      <c r="K116" s="143">
        <f t="shared" si="10"/>
        <v>0</v>
      </c>
      <c r="L116" s="143"/>
      <c r="M116" s="143"/>
      <c r="N116" s="4"/>
    </row>
    <row r="117" spans="2:18" ht="29.25" customHeight="1">
      <c r="B117" s="76"/>
      <c r="C117" s="76"/>
      <c r="D117" s="77"/>
      <c r="E117" s="77"/>
      <c r="F117" s="77"/>
      <c r="G117" s="77"/>
      <c r="H117" s="78"/>
      <c r="I117" s="132"/>
      <c r="J117" s="132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234</v>
      </c>
      <c r="D118" s="2"/>
      <c r="E118" s="3"/>
      <c r="F118" s="3"/>
      <c r="G118" s="3"/>
      <c r="H118" s="57"/>
      <c r="I118" s="120"/>
      <c r="J118" s="120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276</v>
      </c>
      <c r="D119" s="94"/>
      <c r="E119" s="96" t="s">
        <v>228</v>
      </c>
      <c r="F119" s="96"/>
      <c r="G119" s="96" t="s">
        <v>229</v>
      </c>
      <c r="H119" s="95" t="s">
        <v>230</v>
      </c>
      <c r="I119" s="123" t="s">
        <v>231</v>
      </c>
      <c r="J119" s="123"/>
      <c r="K119" s="96"/>
      <c r="L119" s="96"/>
      <c r="M119" s="96"/>
      <c r="N119" s="19"/>
    </row>
    <row r="120" spans="2:18">
      <c r="B120" s="54" t="s">
        <v>152</v>
      </c>
      <c r="C120" s="40" t="s">
        <v>149</v>
      </c>
      <c r="D120" s="7"/>
      <c r="E120" s="6"/>
      <c r="F120" s="7"/>
      <c r="G120" s="82" t="s">
        <v>151</v>
      </c>
      <c r="H120" s="83">
        <v>3</v>
      </c>
      <c r="I120" s="141">
        <v>0</v>
      </c>
      <c r="J120" s="141"/>
      <c r="K120" s="143">
        <f t="shared" ref="K120" si="11">+H120*I120</f>
        <v>0</v>
      </c>
      <c r="L120" s="143"/>
      <c r="M120" s="143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80" t="s">
        <v>151</v>
      </c>
      <c r="H121" s="81">
        <v>3</v>
      </c>
      <c r="I121" s="141">
        <v>0</v>
      </c>
      <c r="J121" s="141"/>
      <c r="K121" s="142">
        <f t="shared" ref="K121:K125" si="12">+H121*I121</f>
        <v>0</v>
      </c>
      <c r="L121" s="142"/>
      <c r="M121" s="142"/>
      <c r="N121" s="4"/>
    </row>
    <row r="122" spans="2:18">
      <c r="B122" s="54" t="s">
        <v>35</v>
      </c>
      <c r="C122" s="40" t="s">
        <v>156</v>
      </c>
      <c r="D122" s="7"/>
      <c r="E122" s="6"/>
      <c r="F122" s="7"/>
      <c r="G122" s="82" t="s">
        <v>21</v>
      </c>
      <c r="H122" s="83">
        <v>3</v>
      </c>
      <c r="I122" s="141">
        <v>0</v>
      </c>
      <c r="J122" s="141"/>
      <c r="K122" s="143">
        <f t="shared" si="12"/>
        <v>0</v>
      </c>
      <c r="L122" s="143"/>
      <c r="M122" s="143"/>
      <c r="N122" s="4"/>
    </row>
    <row r="123" spans="2:18">
      <c r="B123" s="54" t="s">
        <v>36</v>
      </c>
      <c r="C123" s="58" t="s">
        <v>157</v>
      </c>
      <c r="D123" s="9"/>
      <c r="E123" s="8"/>
      <c r="F123" s="9"/>
      <c r="G123" s="80" t="s">
        <v>21</v>
      </c>
      <c r="H123" s="81">
        <v>3</v>
      </c>
      <c r="I123" s="141">
        <v>0</v>
      </c>
      <c r="J123" s="141"/>
      <c r="K123" s="142">
        <f t="shared" si="12"/>
        <v>0</v>
      </c>
      <c r="L123" s="142"/>
      <c r="M123" s="142"/>
      <c r="N123" s="4"/>
    </row>
    <row r="124" spans="2:18">
      <c r="B124" s="54" t="s">
        <v>37</v>
      </c>
      <c r="C124" s="40" t="s">
        <v>158</v>
      </c>
      <c r="D124" s="7"/>
      <c r="E124" s="6"/>
      <c r="F124" s="7"/>
      <c r="G124" s="82" t="s">
        <v>21</v>
      </c>
      <c r="H124" s="83">
        <v>3</v>
      </c>
      <c r="I124" s="141">
        <v>0</v>
      </c>
      <c r="J124" s="141"/>
      <c r="K124" s="143">
        <f t="shared" si="12"/>
        <v>0</v>
      </c>
      <c r="L124" s="143"/>
      <c r="M124" s="143"/>
      <c r="N124" s="4"/>
    </row>
    <row r="125" spans="2:18">
      <c r="B125" s="54" t="s">
        <v>38</v>
      </c>
      <c r="C125" s="58" t="s">
        <v>159</v>
      </c>
      <c r="D125" s="9"/>
      <c r="E125" s="8"/>
      <c r="F125" s="9"/>
      <c r="G125" s="80" t="s">
        <v>21</v>
      </c>
      <c r="H125" s="81">
        <v>3</v>
      </c>
      <c r="I125" s="141">
        <v>0</v>
      </c>
      <c r="J125" s="141"/>
      <c r="K125" s="142">
        <f t="shared" si="12"/>
        <v>0</v>
      </c>
      <c r="L125" s="142"/>
      <c r="M125" s="142"/>
      <c r="N125" s="4"/>
    </row>
    <row r="126" spans="2:18">
      <c r="B126" s="54" t="s">
        <v>154</v>
      </c>
      <c r="C126" s="40" t="s">
        <v>160</v>
      </c>
      <c r="D126" s="7"/>
      <c r="E126" s="6"/>
      <c r="F126" s="7"/>
      <c r="G126" s="82" t="s">
        <v>21</v>
      </c>
      <c r="H126" s="83">
        <v>3</v>
      </c>
      <c r="I126" s="141">
        <v>0</v>
      </c>
      <c r="J126" s="141"/>
      <c r="K126" s="143">
        <f t="shared" ref="K126:K127" si="13">+H126*I126</f>
        <v>0</v>
      </c>
      <c r="L126" s="143"/>
      <c r="M126" s="143"/>
      <c r="N126" s="4"/>
    </row>
    <row r="127" spans="2:18">
      <c r="B127" s="54" t="s">
        <v>155</v>
      </c>
      <c r="C127" s="58" t="s">
        <v>161</v>
      </c>
      <c r="D127" s="9"/>
      <c r="E127" s="8"/>
      <c r="F127" s="9"/>
      <c r="G127" s="80" t="s">
        <v>21</v>
      </c>
      <c r="H127" s="81">
        <v>3</v>
      </c>
      <c r="I127" s="141">
        <v>0</v>
      </c>
      <c r="J127" s="141"/>
      <c r="K127" s="142">
        <f t="shared" si="13"/>
        <v>0</v>
      </c>
      <c r="L127" s="142"/>
      <c r="M127" s="142"/>
      <c r="N127" s="4"/>
    </row>
    <row r="128" spans="2:18">
      <c r="B128" s="75"/>
      <c r="C128" s="76"/>
      <c r="D128" s="77"/>
      <c r="E128" s="77"/>
      <c r="F128" s="77"/>
      <c r="G128" s="77"/>
      <c r="H128" s="78"/>
      <c r="I128" s="132"/>
      <c r="J128" s="132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168</v>
      </c>
      <c r="D129" s="2"/>
      <c r="E129" s="3"/>
      <c r="F129" s="3"/>
      <c r="G129" s="3"/>
      <c r="H129" s="57"/>
      <c r="I129" s="120"/>
      <c r="J129" s="120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276</v>
      </c>
      <c r="D130" s="94"/>
      <c r="E130" s="96" t="s">
        <v>228</v>
      </c>
      <c r="F130" s="96"/>
      <c r="G130" s="96" t="s">
        <v>229</v>
      </c>
      <c r="H130" s="95" t="s">
        <v>230</v>
      </c>
      <c r="I130" s="123" t="s">
        <v>231</v>
      </c>
      <c r="J130" s="123"/>
      <c r="K130" s="96"/>
      <c r="L130" s="96"/>
      <c r="M130" s="96"/>
      <c r="N130" s="19"/>
    </row>
    <row r="131" spans="2:18">
      <c r="B131" s="54" t="s">
        <v>162</v>
      </c>
      <c r="C131" s="58" t="s">
        <v>167</v>
      </c>
      <c r="D131" s="9"/>
      <c r="E131" s="8"/>
      <c r="F131" s="9"/>
      <c r="G131" s="80"/>
      <c r="H131" s="81">
        <v>5</v>
      </c>
      <c r="I131" s="141">
        <v>0</v>
      </c>
      <c r="J131" s="141"/>
      <c r="K131" s="144">
        <f t="shared" ref="K131" si="14">+H131*I131</f>
        <v>0</v>
      </c>
      <c r="L131" s="144"/>
      <c r="M131" s="144"/>
      <c r="N131" s="4"/>
    </row>
    <row r="132" spans="2:18">
      <c r="B132" s="54" t="s">
        <v>163</v>
      </c>
      <c r="C132" s="40" t="s">
        <v>169</v>
      </c>
      <c r="D132" s="7"/>
      <c r="E132" s="22"/>
      <c r="F132" s="7"/>
      <c r="G132" s="82"/>
      <c r="H132" s="83">
        <v>6</v>
      </c>
      <c r="I132" s="141">
        <v>0</v>
      </c>
      <c r="J132" s="141"/>
      <c r="K132" s="143">
        <f t="shared" ref="K132:K135" si="15">+H132*I132</f>
        <v>0</v>
      </c>
      <c r="L132" s="143"/>
      <c r="M132" s="143"/>
      <c r="N132" s="4"/>
    </row>
    <row r="133" spans="2:18">
      <c r="B133" s="54" t="s">
        <v>164</v>
      </c>
      <c r="C133" s="58" t="s">
        <v>170</v>
      </c>
      <c r="D133" s="9"/>
      <c r="E133" s="59"/>
      <c r="F133" s="9"/>
      <c r="G133" s="80"/>
      <c r="H133" s="81">
        <v>4</v>
      </c>
      <c r="I133" s="141">
        <v>0</v>
      </c>
      <c r="J133" s="141"/>
      <c r="K133" s="144">
        <f t="shared" si="15"/>
        <v>0</v>
      </c>
      <c r="L133" s="144"/>
      <c r="M133" s="144"/>
      <c r="N133" s="4"/>
    </row>
    <row r="134" spans="2:18">
      <c r="B134" s="54" t="s">
        <v>165</v>
      </c>
      <c r="C134" s="40" t="s">
        <v>171</v>
      </c>
      <c r="D134" s="7"/>
      <c r="E134" s="22"/>
      <c r="F134" s="7"/>
      <c r="G134" s="82"/>
      <c r="H134" s="83">
        <v>3</v>
      </c>
      <c r="I134" s="141">
        <v>0</v>
      </c>
      <c r="J134" s="141"/>
      <c r="K134" s="143">
        <f t="shared" si="15"/>
        <v>0</v>
      </c>
      <c r="L134" s="143"/>
      <c r="M134" s="143"/>
      <c r="N134" s="4"/>
    </row>
    <row r="135" spans="2:18">
      <c r="B135" s="54" t="s">
        <v>166</v>
      </c>
      <c r="C135" s="58" t="s">
        <v>172</v>
      </c>
      <c r="D135" s="9"/>
      <c r="E135" s="59"/>
      <c r="F135" s="9"/>
      <c r="G135" s="80"/>
      <c r="H135" s="81">
        <v>3</v>
      </c>
      <c r="I135" s="141">
        <v>0</v>
      </c>
      <c r="J135" s="141"/>
      <c r="K135" s="144">
        <f t="shared" si="15"/>
        <v>0</v>
      </c>
      <c r="L135" s="144"/>
      <c r="M135" s="144"/>
      <c r="N135" s="4"/>
    </row>
    <row r="136" spans="2:18">
      <c r="B136" s="76"/>
      <c r="C136" s="76"/>
      <c r="D136" s="77"/>
      <c r="E136" s="77"/>
      <c r="F136" s="77"/>
      <c r="G136" s="77"/>
      <c r="H136" s="78"/>
      <c r="I136" s="132"/>
      <c r="J136" s="132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173</v>
      </c>
      <c r="D137" s="2"/>
      <c r="E137" s="3"/>
      <c r="F137" s="3"/>
      <c r="G137" s="3"/>
      <c r="H137" s="57"/>
      <c r="I137" s="120"/>
      <c r="J137" s="120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276</v>
      </c>
      <c r="D138" s="94"/>
      <c r="E138" s="96" t="s">
        <v>228</v>
      </c>
      <c r="F138" s="96"/>
      <c r="G138" s="96" t="s">
        <v>229</v>
      </c>
      <c r="H138" s="95" t="s">
        <v>230</v>
      </c>
      <c r="I138" s="123" t="s">
        <v>231</v>
      </c>
      <c r="J138" s="123"/>
      <c r="K138" s="96"/>
      <c r="L138" s="96"/>
      <c r="M138" s="96"/>
      <c r="N138" s="19"/>
    </row>
    <row r="139" spans="2:18">
      <c r="B139" s="54" t="s">
        <v>174</v>
      </c>
      <c r="C139" s="58" t="s">
        <v>177</v>
      </c>
      <c r="D139" s="9"/>
      <c r="E139" s="99" t="s">
        <v>270</v>
      </c>
      <c r="F139" s="9"/>
      <c r="G139" s="80"/>
      <c r="H139" s="81">
        <v>4</v>
      </c>
      <c r="I139" s="141">
        <v>0</v>
      </c>
      <c r="J139" s="141"/>
      <c r="K139" s="144">
        <f t="shared" ref="K139:K141" si="16">+H139*I139</f>
        <v>0</v>
      </c>
      <c r="L139" s="144"/>
      <c r="M139" s="144"/>
      <c r="N139" s="4"/>
    </row>
    <row r="140" spans="2:18">
      <c r="B140" s="54" t="s">
        <v>175</v>
      </c>
      <c r="C140" s="40" t="s">
        <v>178</v>
      </c>
      <c r="D140" s="7"/>
      <c r="E140" s="100" t="s">
        <v>270</v>
      </c>
      <c r="F140" s="7"/>
      <c r="G140" s="82"/>
      <c r="H140" s="83">
        <v>4</v>
      </c>
      <c r="I140" s="141">
        <v>0</v>
      </c>
      <c r="J140" s="141"/>
      <c r="K140" s="143">
        <f t="shared" si="16"/>
        <v>0</v>
      </c>
      <c r="L140" s="143"/>
      <c r="M140" s="143"/>
      <c r="N140" s="4"/>
    </row>
    <row r="141" spans="2:18">
      <c r="B141" s="54" t="s">
        <v>176</v>
      </c>
      <c r="C141" s="58" t="s">
        <v>179</v>
      </c>
      <c r="D141" s="9"/>
      <c r="E141" s="99" t="s">
        <v>269</v>
      </c>
      <c r="F141" s="9"/>
      <c r="G141" s="80"/>
      <c r="H141" s="81">
        <v>4</v>
      </c>
      <c r="I141" s="141">
        <v>0</v>
      </c>
      <c r="J141" s="141"/>
      <c r="K141" s="144">
        <f t="shared" si="16"/>
        <v>0</v>
      </c>
      <c r="L141" s="144"/>
      <c r="M141" s="144"/>
      <c r="N141" s="4"/>
    </row>
    <row r="142" spans="2:18">
      <c r="B142" s="76"/>
      <c r="C142" s="76"/>
      <c r="D142" s="77"/>
      <c r="E142" s="77"/>
      <c r="F142" s="77"/>
      <c r="G142" s="77"/>
      <c r="H142" s="78"/>
      <c r="I142" s="141">
        <v>0</v>
      </c>
      <c r="J142" s="141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180</v>
      </c>
      <c r="D143" s="2"/>
      <c r="E143" s="3"/>
      <c r="F143" s="3"/>
      <c r="G143" s="3"/>
      <c r="H143" s="57"/>
      <c r="I143" s="120"/>
      <c r="J143" s="120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276</v>
      </c>
      <c r="D144" s="94"/>
      <c r="E144" s="96" t="s">
        <v>228</v>
      </c>
      <c r="F144" s="96"/>
      <c r="G144" s="96" t="s">
        <v>229</v>
      </c>
      <c r="H144" s="95" t="s">
        <v>230</v>
      </c>
      <c r="I144" s="123" t="s">
        <v>231</v>
      </c>
      <c r="J144" s="123"/>
      <c r="K144" s="19"/>
      <c r="L144" s="19"/>
      <c r="M144" s="19"/>
      <c r="N144" s="19"/>
    </row>
    <row r="145" spans="2:18">
      <c r="B145" s="54" t="s">
        <v>182</v>
      </c>
      <c r="C145" s="58" t="s">
        <v>181</v>
      </c>
      <c r="D145" s="35"/>
      <c r="E145" s="99" t="s">
        <v>274</v>
      </c>
      <c r="F145" s="9"/>
      <c r="G145" s="80"/>
      <c r="H145" s="81">
        <v>12</v>
      </c>
      <c r="I145" s="141">
        <v>0</v>
      </c>
      <c r="J145" s="141"/>
      <c r="K145" s="144">
        <f t="shared" ref="K145:K146" si="17">+H145*I145</f>
        <v>0</v>
      </c>
      <c r="L145" s="144"/>
      <c r="M145" s="144"/>
      <c r="N145" s="4"/>
    </row>
    <row r="146" spans="2:18">
      <c r="B146" s="54" t="s">
        <v>183</v>
      </c>
      <c r="C146" s="40" t="s">
        <v>184</v>
      </c>
      <c r="D146" s="60"/>
      <c r="E146" s="100" t="s">
        <v>275</v>
      </c>
      <c r="F146" s="7"/>
      <c r="G146" s="82"/>
      <c r="H146" s="83">
        <v>15</v>
      </c>
      <c r="I146" s="141">
        <v>0</v>
      </c>
      <c r="J146" s="141"/>
      <c r="K146" s="143">
        <f t="shared" si="17"/>
        <v>0</v>
      </c>
      <c r="L146" s="143"/>
      <c r="M146" s="143"/>
      <c r="N146" s="4"/>
    </row>
    <row r="147" spans="2:18">
      <c r="B147" s="76"/>
      <c r="C147" s="79"/>
      <c r="D147" s="77"/>
      <c r="E147" s="77"/>
      <c r="F147" s="77"/>
      <c r="G147" s="77"/>
      <c r="H147" s="78"/>
      <c r="I147" s="132"/>
      <c r="J147" s="132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185</v>
      </c>
      <c r="D148" s="2"/>
      <c r="E148" s="3"/>
      <c r="F148" s="3"/>
      <c r="G148" s="3"/>
      <c r="H148" s="57"/>
      <c r="I148" s="120"/>
      <c r="J148" s="120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276</v>
      </c>
      <c r="D149" s="94"/>
      <c r="E149" s="98" t="s">
        <v>228</v>
      </c>
      <c r="F149" s="96"/>
      <c r="G149" s="96" t="s">
        <v>229</v>
      </c>
      <c r="H149" s="95" t="s">
        <v>230</v>
      </c>
      <c r="I149" s="123" t="s">
        <v>231</v>
      </c>
      <c r="J149" s="123"/>
      <c r="K149" s="19"/>
      <c r="L149" s="19"/>
      <c r="M149" s="19"/>
      <c r="N149" s="19"/>
    </row>
    <row r="150" spans="2:18">
      <c r="B150" s="54" t="s">
        <v>189</v>
      </c>
      <c r="C150" s="58" t="s">
        <v>186</v>
      </c>
      <c r="D150" s="35"/>
      <c r="E150" s="99" t="s">
        <v>266</v>
      </c>
      <c r="F150" s="9"/>
      <c r="G150" s="80"/>
      <c r="H150" s="81">
        <v>3</v>
      </c>
      <c r="I150" s="141">
        <v>0</v>
      </c>
      <c r="J150" s="141"/>
      <c r="K150" s="144">
        <f t="shared" ref="K150:K151" si="18">+H150*I150</f>
        <v>0</v>
      </c>
      <c r="L150" s="144"/>
      <c r="M150" s="144"/>
      <c r="N150" s="4"/>
    </row>
    <row r="151" spans="2:18">
      <c r="B151" s="54" t="s">
        <v>190</v>
      </c>
      <c r="C151" s="40" t="s">
        <v>187</v>
      </c>
      <c r="D151" s="60"/>
      <c r="E151" s="100" t="s">
        <v>266</v>
      </c>
      <c r="F151" s="7"/>
      <c r="G151" s="82"/>
      <c r="H151" s="83">
        <v>3</v>
      </c>
      <c r="I151" s="141">
        <v>0</v>
      </c>
      <c r="J151" s="141"/>
      <c r="K151" s="143">
        <f t="shared" si="18"/>
        <v>0</v>
      </c>
      <c r="L151" s="143"/>
      <c r="M151" s="143"/>
      <c r="N151" s="4"/>
    </row>
    <row r="152" spans="2:18">
      <c r="B152" s="54" t="s">
        <v>191</v>
      </c>
      <c r="C152" s="58" t="s">
        <v>188</v>
      </c>
      <c r="D152" s="35"/>
      <c r="E152" s="99" t="s">
        <v>266</v>
      </c>
      <c r="F152" s="9"/>
      <c r="G152" s="80"/>
      <c r="H152" s="81">
        <v>3</v>
      </c>
      <c r="I152" s="141">
        <v>0</v>
      </c>
      <c r="J152" s="141"/>
      <c r="K152" s="144">
        <f t="shared" ref="K152" si="19">+H152*I152</f>
        <v>0</v>
      </c>
      <c r="L152" s="144"/>
      <c r="M152" s="144"/>
      <c r="N152" s="4"/>
    </row>
    <row r="153" spans="2:18">
      <c r="B153" s="76"/>
      <c r="C153" s="76"/>
      <c r="D153" s="77"/>
      <c r="E153" s="77"/>
      <c r="F153" s="77"/>
      <c r="G153" s="77"/>
      <c r="H153" s="78"/>
      <c r="I153" s="141">
        <v>0</v>
      </c>
      <c r="J153" s="141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192</v>
      </c>
      <c r="D154" s="2"/>
      <c r="E154" s="3"/>
      <c r="F154" s="3"/>
      <c r="G154" s="3"/>
      <c r="H154" s="57"/>
      <c r="I154" s="120"/>
      <c r="J154" s="120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276</v>
      </c>
      <c r="D155" s="94"/>
      <c r="E155" s="96" t="s">
        <v>228</v>
      </c>
      <c r="F155" s="96"/>
      <c r="G155" s="96" t="s">
        <v>229</v>
      </c>
      <c r="H155" s="95" t="s">
        <v>230</v>
      </c>
      <c r="I155" s="123" t="s">
        <v>231</v>
      </c>
      <c r="J155" s="123"/>
      <c r="K155" s="19"/>
      <c r="L155" s="19"/>
      <c r="M155" s="19"/>
      <c r="N155" s="19"/>
    </row>
    <row r="156" spans="2:18">
      <c r="B156" s="54" t="s">
        <v>193</v>
      </c>
      <c r="C156" s="50" t="s">
        <v>195</v>
      </c>
      <c r="D156" s="35"/>
      <c r="E156" s="99" t="s">
        <v>340</v>
      </c>
      <c r="F156" s="9"/>
      <c r="G156" s="80"/>
      <c r="H156" s="81">
        <v>15</v>
      </c>
      <c r="I156" s="141">
        <v>0</v>
      </c>
      <c r="J156" s="141"/>
      <c r="K156" s="144">
        <f t="shared" ref="K156:K157" si="20">+H156*I156</f>
        <v>0</v>
      </c>
      <c r="L156" s="144"/>
      <c r="M156" s="144"/>
      <c r="N156" s="4"/>
    </row>
    <row r="157" spans="2:18">
      <c r="B157" s="54" t="s">
        <v>194</v>
      </c>
      <c r="C157" s="42" t="s">
        <v>196</v>
      </c>
      <c r="D157" s="60"/>
      <c r="E157" s="100" t="s">
        <v>340</v>
      </c>
      <c r="F157" s="7"/>
      <c r="G157" s="82"/>
      <c r="H157" s="83">
        <v>15</v>
      </c>
      <c r="I157" s="141">
        <v>0</v>
      </c>
      <c r="J157" s="141"/>
      <c r="K157" s="143">
        <f t="shared" si="20"/>
        <v>0</v>
      </c>
      <c r="L157" s="143"/>
      <c r="M157" s="143"/>
      <c r="N157" s="4"/>
    </row>
    <row r="158" spans="2:18">
      <c r="B158" s="76"/>
      <c r="C158" s="76"/>
      <c r="D158" s="77"/>
      <c r="E158" s="77"/>
      <c r="F158" s="77"/>
      <c r="G158" s="77"/>
      <c r="H158" s="78"/>
      <c r="I158" s="132"/>
      <c r="J158" s="132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197</v>
      </c>
      <c r="D159" s="2"/>
      <c r="E159" s="3"/>
      <c r="F159" s="3"/>
      <c r="G159" s="3"/>
      <c r="H159" s="57"/>
      <c r="I159" s="120"/>
      <c r="J159" s="120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276</v>
      </c>
      <c r="D160" s="94"/>
      <c r="E160" s="96" t="s">
        <v>228</v>
      </c>
      <c r="F160" s="96"/>
      <c r="G160" s="96" t="s">
        <v>229</v>
      </c>
      <c r="H160" s="95" t="s">
        <v>230</v>
      </c>
      <c r="I160" s="123" t="s">
        <v>231</v>
      </c>
      <c r="J160" s="123"/>
      <c r="K160" s="19"/>
      <c r="L160" s="19"/>
      <c r="M160" s="19"/>
      <c r="N160" s="19"/>
    </row>
    <row r="161" spans="2:18">
      <c r="B161" s="54" t="s">
        <v>199</v>
      </c>
      <c r="C161" s="50" t="s">
        <v>198</v>
      </c>
      <c r="D161" s="35"/>
      <c r="E161" s="8"/>
      <c r="F161" s="9"/>
      <c r="G161" s="80"/>
      <c r="H161" s="81">
        <v>5</v>
      </c>
      <c r="I161" s="141">
        <v>0</v>
      </c>
      <c r="J161" s="141"/>
      <c r="K161" s="144">
        <f t="shared" ref="K161:K162" si="21">+H161*I161</f>
        <v>0</v>
      </c>
      <c r="L161" s="144"/>
      <c r="M161" s="144"/>
      <c r="N161" s="4"/>
    </row>
    <row r="162" spans="2:18">
      <c r="B162" s="54" t="s">
        <v>200</v>
      </c>
      <c r="C162" s="42" t="s">
        <v>235</v>
      </c>
      <c r="D162" s="60"/>
      <c r="E162" s="22"/>
      <c r="F162" s="7"/>
      <c r="G162" s="82"/>
      <c r="H162" s="83">
        <v>5</v>
      </c>
      <c r="I162" s="141">
        <v>0</v>
      </c>
      <c r="J162" s="141"/>
      <c r="K162" s="143">
        <f t="shared" si="21"/>
        <v>0</v>
      </c>
      <c r="L162" s="143"/>
      <c r="M162" s="143"/>
      <c r="N162" s="4"/>
    </row>
    <row r="163" spans="2:18">
      <c r="B163" s="76"/>
      <c r="C163" s="76"/>
      <c r="D163" s="77"/>
      <c r="E163" s="77"/>
      <c r="F163" s="77"/>
      <c r="G163" s="77"/>
      <c r="H163" s="78"/>
      <c r="I163" s="132"/>
      <c r="J163" s="132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201</v>
      </c>
      <c r="D164" s="2"/>
      <c r="E164" s="3"/>
      <c r="F164" s="3"/>
      <c r="G164" s="3"/>
      <c r="H164" s="57"/>
      <c r="I164" s="120"/>
      <c r="J164" s="120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276</v>
      </c>
      <c r="D165" s="94"/>
      <c r="E165" s="96" t="s">
        <v>228</v>
      </c>
      <c r="F165" s="96"/>
      <c r="G165" s="96" t="s">
        <v>229</v>
      </c>
      <c r="H165" s="95" t="s">
        <v>230</v>
      </c>
      <c r="I165" s="123" t="s">
        <v>231</v>
      </c>
      <c r="J165" s="123"/>
      <c r="K165" s="19"/>
      <c r="L165" s="19"/>
      <c r="M165" s="19"/>
      <c r="N165" s="19"/>
    </row>
    <row r="166" spans="2:18">
      <c r="B166" s="54" t="s">
        <v>204</v>
      </c>
      <c r="C166" s="50" t="s">
        <v>202</v>
      </c>
      <c r="D166" s="35"/>
      <c r="E166" s="8" t="s">
        <v>264</v>
      </c>
      <c r="F166" s="9"/>
      <c r="G166" s="80"/>
      <c r="H166" s="81">
        <v>50</v>
      </c>
      <c r="I166" s="141">
        <v>0</v>
      </c>
      <c r="J166" s="141"/>
      <c r="K166" s="142">
        <f t="shared" ref="K166:K167" si="22">+H166*I166</f>
        <v>0</v>
      </c>
      <c r="L166" s="142"/>
      <c r="M166" s="142"/>
      <c r="N166" s="4"/>
    </row>
    <row r="167" spans="2:18">
      <c r="B167" s="54" t="s">
        <v>205</v>
      </c>
      <c r="C167" s="42" t="s">
        <v>203</v>
      </c>
      <c r="D167" s="60"/>
      <c r="E167" s="22" t="s">
        <v>265</v>
      </c>
      <c r="F167" s="7"/>
      <c r="G167" s="82"/>
      <c r="H167" s="83">
        <v>40</v>
      </c>
      <c r="I167" s="141">
        <v>0</v>
      </c>
      <c r="J167" s="141"/>
      <c r="K167" s="143">
        <f t="shared" si="22"/>
        <v>0</v>
      </c>
      <c r="L167" s="143"/>
      <c r="M167" s="143"/>
      <c r="N167" s="4"/>
    </row>
    <row r="168" spans="2:18">
      <c r="B168" s="76"/>
      <c r="C168" s="76"/>
      <c r="D168" s="77"/>
      <c r="E168" s="77"/>
      <c r="F168" s="77"/>
      <c r="G168" s="77"/>
      <c r="H168" s="78"/>
      <c r="I168" s="132"/>
      <c r="J168" s="132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225</v>
      </c>
      <c r="D169" s="2"/>
      <c r="E169" s="3"/>
      <c r="F169" s="3"/>
      <c r="G169" s="3"/>
      <c r="H169" s="57"/>
      <c r="I169" s="120"/>
      <c r="J169" s="120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276</v>
      </c>
      <c r="D170" s="94"/>
      <c r="E170" s="96" t="s">
        <v>228</v>
      </c>
      <c r="F170" s="96"/>
      <c r="G170" s="96" t="s">
        <v>229</v>
      </c>
      <c r="H170" s="95" t="s">
        <v>230</v>
      </c>
      <c r="I170" s="123" t="s">
        <v>231</v>
      </c>
      <c r="J170" s="123"/>
      <c r="K170" s="19"/>
      <c r="L170" s="19"/>
      <c r="M170" s="19"/>
      <c r="N170" s="19"/>
    </row>
    <row r="171" spans="2:18">
      <c r="B171" s="54" t="s">
        <v>206</v>
      </c>
      <c r="C171" s="50" t="s">
        <v>209</v>
      </c>
      <c r="D171" s="35"/>
      <c r="E171" s="8" t="s">
        <v>267</v>
      </c>
      <c r="F171" s="9"/>
      <c r="G171" s="80"/>
      <c r="H171" s="81">
        <v>15</v>
      </c>
      <c r="I171" s="141">
        <v>0</v>
      </c>
      <c r="J171" s="141"/>
      <c r="K171" s="144">
        <f t="shared" ref="K171:K172" si="23">+H171*I171</f>
        <v>0</v>
      </c>
      <c r="L171" s="144"/>
      <c r="M171" s="144"/>
      <c r="N171" s="4"/>
    </row>
    <row r="172" spans="2:18">
      <c r="B172" s="54" t="s">
        <v>207</v>
      </c>
      <c r="C172" s="42" t="s">
        <v>177</v>
      </c>
      <c r="D172" s="60"/>
      <c r="E172" s="22" t="s">
        <v>267</v>
      </c>
      <c r="F172" s="7"/>
      <c r="G172" s="82"/>
      <c r="H172" s="83">
        <v>15</v>
      </c>
      <c r="I172" s="141">
        <v>0</v>
      </c>
      <c r="J172" s="141"/>
      <c r="K172" s="143">
        <f t="shared" si="23"/>
        <v>0</v>
      </c>
      <c r="L172" s="143"/>
      <c r="M172" s="143"/>
      <c r="N172" s="4"/>
    </row>
    <row r="173" spans="2:18">
      <c r="B173" s="54" t="s">
        <v>208</v>
      </c>
      <c r="C173" s="50" t="s">
        <v>210</v>
      </c>
      <c r="D173" s="35"/>
      <c r="E173" s="8" t="s">
        <v>267</v>
      </c>
      <c r="F173" s="9"/>
      <c r="G173" s="80"/>
      <c r="H173" s="81">
        <v>15</v>
      </c>
      <c r="I173" s="141">
        <v>0</v>
      </c>
      <c r="J173" s="141"/>
      <c r="K173" s="144">
        <f t="shared" ref="K173" si="24">+H173*I173</f>
        <v>0</v>
      </c>
      <c r="L173" s="144"/>
      <c r="M173" s="144"/>
      <c r="N173" s="4"/>
    </row>
    <row r="174" spans="2:18">
      <c r="B174" s="75"/>
      <c r="C174" s="76"/>
      <c r="D174" s="77"/>
      <c r="E174" s="77"/>
      <c r="F174" s="77"/>
      <c r="G174" s="77"/>
      <c r="H174" s="78"/>
      <c r="I174" s="132"/>
      <c r="J174" s="132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211</v>
      </c>
      <c r="D175" s="2"/>
      <c r="E175" s="3"/>
      <c r="F175" s="3"/>
      <c r="G175" s="3"/>
      <c r="H175" s="57"/>
      <c r="I175" s="120"/>
      <c r="J175" s="120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276</v>
      </c>
      <c r="D176" s="94"/>
      <c r="E176" s="96" t="s">
        <v>228</v>
      </c>
      <c r="F176" s="96"/>
      <c r="G176" s="96" t="s">
        <v>229</v>
      </c>
      <c r="H176" s="95" t="s">
        <v>230</v>
      </c>
      <c r="I176" s="123" t="s">
        <v>231</v>
      </c>
      <c r="J176" s="123"/>
      <c r="K176" s="19"/>
      <c r="L176" s="19"/>
      <c r="M176" s="19"/>
      <c r="N176" s="19"/>
    </row>
    <row r="177" spans="2:18">
      <c r="B177" s="54" t="s">
        <v>212</v>
      </c>
      <c r="C177" s="50" t="s">
        <v>209</v>
      </c>
      <c r="D177" s="35"/>
      <c r="E177" s="8" t="s">
        <v>268</v>
      </c>
      <c r="F177" s="9"/>
      <c r="G177" s="80"/>
      <c r="H177" s="81">
        <v>15</v>
      </c>
      <c r="I177" s="141">
        <v>0</v>
      </c>
      <c r="J177" s="141"/>
      <c r="K177" s="144">
        <f t="shared" ref="K177:K179" si="25">+H177*I177</f>
        <v>0</v>
      </c>
      <c r="L177" s="144"/>
      <c r="M177" s="144"/>
      <c r="N177" s="4"/>
    </row>
    <row r="178" spans="2:18">
      <c r="B178" s="54" t="s">
        <v>213</v>
      </c>
      <c r="C178" s="42" t="s">
        <v>177</v>
      </c>
      <c r="D178" s="60"/>
      <c r="E178" s="22" t="s">
        <v>268</v>
      </c>
      <c r="F178" s="7"/>
      <c r="G178" s="82"/>
      <c r="H178" s="83">
        <v>15</v>
      </c>
      <c r="I178" s="141">
        <v>0</v>
      </c>
      <c r="J178" s="141"/>
      <c r="K178" s="143">
        <f t="shared" si="25"/>
        <v>0</v>
      </c>
      <c r="L178" s="143"/>
      <c r="M178" s="143"/>
      <c r="N178" s="4"/>
    </row>
    <row r="179" spans="2:18">
      <c r="B179" s="54" t="s">
        <v>214</v>
      </c>
      <c r="C179" s="50" t="s">
        <v>210</v>
      </c>
      <c r="D179" s="35"/>
      <c r="E179" s="8" t="s">
        <v>268</v>
      </c>
      <c r="F179" s="9"/>
      <c r="G179" s="80"/>
      <c r="H179" s="81">
        <v>15</v>
      </c>
      <c r="I179" s="141">
        <v>0</v>
      </c>
      <c r="J179" s="141"/>
      <c r="K179" s="144">
        <f t="shared" si="25"/>
        <v>0</v>
      </c>
      <c r="L179" s="144"/>
      <c r="M179" s="144"/>
      <c r="N179" s="4"/>
    </row>
    <row r="180" spans="2:18">
      <c r="B180" s="76"/>
      <c r="C180" s="76"/>
      <c r="D180" s="77"/>
      <c r="E180" s="77"/>
      <c r="F180" s="77"/>
      <c r="G180" s="77"/>
      <c r="H180" s="78"/>
      <c r="I180" s="132"/>
      <c r="J180" s="132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226</v>
      </c>
      <c r="D181" s="2"/>
      <c r="E181" s="3"/>
      <c r="F181" s="3"/>
      <c r="G181" s="3"/>
      <c r="H181" s="57"/>
      <c r="I181" s="120"/>
      <c r="J181" s="120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276</v>
      </c>
      <c r="D182" s="94"/>
      <c r="E182" s="96" t="s">
        <v>228</v>
      </c>
      <c r="F182" s="96"/>
      <c r="G182" s="96" t="s">
        <v>229</v>
      </c>
      <c r="H182" s="95" t="s">
        <v>230</v>
      </c>
      <c r="I182" s="123" t="s">
        <v>231</v>
      </c>
      <c r="J182" s="123"/>
      <c r="K182" s="19"/>
      <c r="L182" s="19"/>
      <c r="M182" s="19"/>
      <c r="N182" s="19"/>
    </row>
    <row r="183" spans="2:18">
      <c r="B183" s="54" t="s">
        <v>215</v>
      </c>
      <c r="C183" s="50" t="s">
        <v>217</v>
      </c>
      <c r="D183" s="35"/>
      <c r="E183" s="8" t="s">
        <v>271</v>
      </c>
      <c r="F183" s="9"/>
      <c r="G183" s="80"/>
      <c r="H183" s="81">
        <v>3</v>
      </c>
      <c r="I183" s="141">
        <v>0</v>
      </c>
      <c r="J183" s="141"/>
      <c r="K183" s="144">
        <f t="shared" ref="K183:K184" si="26">+H183*I183</f>
        <v>0</v>
      </c>
      <c r="L183" s="144"/>
      <c r="M183" s="144"/>
      <c r="N183" s="4"/>
    </row>
    <row r="184" spans="2:18">
      <c r="B184" s="54" t="s">
        <v>216</v>
      </c>
      <c r="C184" s="42" t="s">
        <v>218</v>
      </c>
      <c r="D184" s="60"/>
      <c r="E184" s="22" t="s">
        <v>271</v>
      </c>
      <c r="F184" s="7"/>
      <c r="G184" s="82"/>
      <c r="H184" s="83">
        <v>3</v>
      </c>
      <c r="I184" s="141">
        <v>0</v>
      </c>
      <c r="J184" s="141"/>
      <c r="K184" s="143">
        <f t="shared" si="26"/>
        <v>0</v>
      </c>
      <c r="L184" s="143"/>
      <c r="M184" s="143"/>
      <c r="N184" s="4"/>
    </row>
    <row r="185" spans="2:18">
      <c r="B185" s="76"/>
      <c r="C185" s="76"/>
      <c r="D185" s="77"/>
      <c r="E185" s="77"/>
      <c r="F185" s="77"/>
      <c r="G185" s="77"/>
      <c r="H185" s="78"/>
      <c r="I185" s="132"/>
      <c r="J185" s="132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219</v>
      </c>
      <c r="D186" s="2"/>
      <c r="E186" s="3"/>
      <c r="F186" s="3"/>
      <c r="G186" s="3"/>
      <c r="H186" s="57"/>
      <c r="I186" s="120"/>
      <c r="J186" s="120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276</v>
      </c>
      <c r="D187" s="94"/>
      <c r="E187" s="96" t="s">
        <v>228</v>
      </c>
      <c r="F187" s="96"/>
      <c r="G187" s="96" t="s">
        <v>229</v>
      </c>
      <c r="H187" s="95" t="s">
        <v>230</v>
      </c>
      <c r="I187" s="123" t="s">
        <v>231</v>
      </c>
      <c r="J187" s="123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80"/>
      <c r="H188" s="81">
        <v>4</v>
      </c>
      <c r="I188" s="141">
        <v>0</v>
      </c>
      <c r="J188" s="141"/>
      <c r="K188" s="142">
        <f t="shared" ref="K188:K189" si="27">+H188*I188</f>
        <v>0</v>
      </c>
      <c r="L188" s="142"/>
      <c r="M188" s="142"/>
      <c r="N188" s="4"/>
    </row>
    <row r="189" spans="2:18">
      <c r="B189" s="54" t="s">
        <v>237</v>
      </c>
      <c r="C189" s="42" t="s">
        <v>232</v>
      </c>
      <c r="D189" s="60"/>
      <c r="E189" s="100" t="s">
        <v>273</v>
      </c>
      <c r="F189" s="7"/>
      <c r="G189" s="82"/>
      <c r="H189" s="83">
        <v>4</v>
      </c>
      <c r="I189" s="141">
        <v>0</v>
      </c>
      <c r="J189" s="141"/>
      <c r="K189" s="143">
        <f t="shared" si="27"/>
        <v>0</v>
      </c>
      <c r="L189" s="143"/>
      <c r="M189" s="143"/>
      <c r="N189" s="4"/>
    </row>
    <row r="190" spans="2:18">
      <c r="B190" s="76"/>
      <c r="C190" s="76"/>
      <c r="D190" s="77"/>
      <c r="E190" s="77"/>
      <c r="F190" s="77"/>
      <c r="G190" s="77"/>
      <c r="H190" s="78"/>
      <c r="I190" s="132"/>
      <c r="J190" s="132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</row>
    <row r="192" spans="2:18" ht="33.75">
      <c r="B192" s="67" t="s">
        <v>1</v>
      </c>
      <c r="C192" s="68" t="s">
        <v>44</v>
      </c>
      <c r="D192" s="69" t="s">
        <v>1</v>
      </c>
      <c r="E192" s="70" t="s">
        <v>1</v>
      </c>
      <c r="F192" s="71" t="s">
        <v>1</v>
      </c>
      <c r="G192" s="72" t="s">
        <v>1</v>
      </c>
      <c r="H192" s="73" t="s">
        <v>1</v>
      </c>
      <c r="I192" s="148">
        <f>SUM(I22:J189)</f>
        <v>0</v>
      </c>
      <c r="J192" s="148"/>
      <c r="K192" s="152">
        <f>SUM(K24:M191)</f>
        <v>0</v>
      </c>
      <c r="L192" s="152"/>
      <c r="M192" s="152"/>
      <c r="N192" s="74"/>
    </row>
    <row r="193" spans="2:2">
      <c r="B193" s="37"/>
    </row>
    <row r="194" spans="2:2">
      <c r="B194" s="37"/>
    </row>
    <row r="195" spans="2:2">
      <c r="B195" s="37"/>
    </row>
    <row r="196" spans="2:2">
      <c r="B196" s="37"/>
    </row>
    <row r="197" spans="2:2">
      <c r="B197" s="37"/>
    </row>
    <row r="198" spans="2:2">
      <c r="B198" s="37"/>
    </row>
    <row r="199" spans="2:2">
      <c r="B199" s="37"/>
    </row>
    <row r="200" spans="2:2">
      <c r="B200" s="37"/>
    </row>
    <row r="201" spans="2:2">
      <c r="B201" s="37"/>
    </row>
    <row r="202" spans="2:2">
      <c r="B202" s="37"/>
    </row>
    <row r="203" spans="2:2">
      <c r="B203" s="37"/>
    </row>
    <row r="204" spans="2:2">
      <c r="B204" s="37"/>
    </row>
    <row r="205" spans="2:2">
      <c r="B205" s="37"/>
    </row>
    <row r="206" spans="2:2">
      <c r="B206" s="37"/>
    </row>
    <row r="207" spans="2:2">
      <c r="B207" s="37"/>
    </row>
    <row r="208" spans="2:2">
      <c r="B208" s="37"/>
    </row>
    <row r="209" spans="2:2">
      <c r="B209" s="37"/>
    </row>
    <row r="210" spans="2:2">
      <c r="B210" s="37"/>
    </row>
    <row r="211" spans="2:2">
      <c r="B211" s="37"/>
    </row>
    <row r="212" spans="2:2">
      <c r="B212" s="37"/>
    </row>
    <row r="213" spans="2:2">
      <c r="B213" s="37"/>
    </row>
    <row r="214" spans="2:2">
      <c r="B214" s="37"/>
    </row>
    <row r="215" spans="2:2">
      <c r="B215" s="37"/>
    </row>
    <row r="216" spans="2:2">
      <c r="B216" s="37"/>
    </row>
    <row r="217" spans="2:2">
      <c r="B217" s="37"/>
    </row>
    <row r="218" spans="2:2">
      <c r="B218" s="37"/>
    </row>
    <row r="219" spans="2:2">
      <c r="B219" s="37"/>
    </row>
    <row r="221" spans="2:2">
      <c r="B221" s="37"/>
    </row>
    <row r="222" spans="2:2">
      <c r="B222" s="37"/>
    </row>
    <row r="223" spans="2:2">
      <c r="B223" s="37"/>
    </row>
    <row r="224" spans="2:2">
      <c r="B224" s="37"/>
    </row>
    <row r="225" spans="2:2">
      <c r="B225" s="37"/>
    </row>
    <row r="226" spans="2:2">
      <c r="B226" s="37"/>
    </row>
    <row r="227" spans="2:2">
      <c r="B227" s="37"/>
    </row>
    <row r="228" spans="2:2">
      <c r="B228" s="37"/>
    </row>
    <row r="229" spans="2:2">
      <c r="B229" s="37"/>
    </row>
    <row r="230" spans="2:2">
      <c r="B230" s="37"/>
    </row>
    <row r="231" spans="2:2">
      <c r="B231" s="37"/>
    </row>
    <row r="232" spans="2:2">
      <c r="B232" s="37"/>
    </row>
    <row r="233" spans="2:2">
      <c r="B233" s="37"/>
    </row>
    <row r="234" spans="2:2">
      <c r="B234" s="37"/>
    </row>
    <row r="235" spans="2:2">
      <c r="B235" s="37"/>
    </row>
    <row r="236" spans="2:2">
      <c r="B236" s="37"/>
    </row>
    <row r="237" spans="2:2">
      <c r="B237" s="37"/>
    </row>
    <row r="238" spans="2:2">
      <c r="B238" s="37"/>
    </row>
    <row r="239" spans="2:2">
      <c r="B239" s="37"/>
    </row>
    <row r="240" spans="2:2">
      <c r="B240" s="37"/>
    </row>
    <row r="241" spans="2:2">
      <c r="B241" s="37"/>
    </row>
    <row r="242" spans="2:2">
      <c r="B242" s="37"/>
    </row>
    <row r="243" spans="2:2">
      <c r="B243" s="37"/>
    </row>
    <row r="244" spans="2:2">
      <c r="B244" s="37"/>
    </row>
    <row r="245" spans="2:2">
      <c r="B245" s="37"/>
    </row>
    <row r="246" spans="2:2">
      <c r="B246" s="37"/>
    </row>
    <row r="247" spans="2:2">
      <c r="B247" s="37"/>
    </row>
    <row r="248" spans="2:2">
      <c r="B248" s="37"/>
    </row>
    <row r="249" spans="2:2">
      <c r="B249" s="37"/>
    </row>
    <row r="250" spans="2:2">
      <c r="B250" s="37"/>
    </row>
    <row r="251" spans="2:2">
      <c r="B251" s="37"/>
    </row>
    <row r="252" spans="2:2">
      <c r="B252" s="37"/>
    </row>
    <row r="253" spans="2:2">
      <c r="B253" s="37"/>
    </row>
    <row r="254" spans="2:2">
      <c r="B254" s="37"/>
    </row>
    <row r="255" spans="2:2">
      <c r="B255" s="37"/>
    </row>
    <row r="256" spans="2:2">
      <c r="B256" s="37"/>
    </row>
    <row r="257" spans="2:2">
      <c r="B257" s="37"/>
    </row>
    <row r="258" spans="2:2">
      <c r="B258" s="37"/>
    </row>
    <row r="259" spans="2:2">
      <c r="B259" s="37"/>
    </row>
    <row r="260" spans="2:2">
      <c r="B260" s="37"/>
    </row>
    <row r="261" spans="2:2">
      <c r="B261" s="37"/>
    </row>
    <row r="262" spans="2:2">
      <c r="B262" s="37"/>
    </row>
    <row r="263" spans="2:2">
      <c r="B263" s="37"/>
    </row>
    <row r="264" spans="2:2">
      <c r="B264" s="37"/>
    </row>
    <row r="265" spans="2:2">
      <c r="B265" s="37"/>
    </row>
    <row r="266" spans="2:2">
      <c r="B266" s="37"/>
    </row>
    <row r="267" spans="2:2">
      <c r="B267" s="37"/>
    </row>
    <row r="268" spans="2:2">
      <c r="B268" s="37"/>
    </row>
    <row r="269" spans="2:2">
      <c r="B269" s="37"/>
    </row>
    <row r="270" spans="2:2">
      <c r="B270" s="37"/>
    </row>
    <row r="271" spans="2:2">
      <c r="B271" s="37"/>
    </row>
    <row r="272" spans="2:2">
      <c r="B272" s="37"/>
    </row>
    <row r="273" spans="2:2">
      <c r="B273" s="37"/>
    </row>
  </sheetData>
  <mergeCells count="198">
    <mergeCell ref="I24:J24"/>
    <mergeCell ref="K24:M24"/>
    <mergeCell ref="I25:J25"/>
    <mergeCell ref="K25:M25"/>
    <mergeCell ref="I26:J26"/>
    <mergeCell ref="K26:M26"/>
    <mergeCell ref="I27:J27"/>
    <mergeCell ref="K27:M27"/>
    <mergeCell ref="I31:J31"/>
    <mergeCell ref="K31:M31"/>
    <mergeCell ref="I178:J178"/>
    <mergeCell ref="K178:M178"/>
    <mergeCell ref="I179:J179"/>
    <mergeCell ref="K179:M179"/>
    <mergeCell ref="I183:J183"/>
    <mergeCell ref="K183:M183"/>
    <mergeCell ref="I184:J184"/>
    <mergeCell ref="K184:M184"/>
    <mergeCell ref="I173:J173"/>
    <mergeCell ref="K173:M173"/>
    <mergeCell ref="I177:J177"/>
    <mergeCell ref="K177:M177"/>
    <mergeCell ref="I192:J192"/>
    <mergeCell ref="K192:M192"/>
    <mergeCell ref="I188:J188"/>
    <mergeCell ref="K188:M188"/>
    <mergeCell ref="I189:J189"/>
    <mergeCell ref="K189:M189"/>
    <mergeCell ref="I20:J20"/>
    <mergeCell ref="K20:M20"/>
    <mergeCell ref="I156:J156"/>
    <mergeCell ref="K156:M156"/>
    <mergeCell ref="I150:J150"/>
    <mergeCell ref="K150:M150"/>
    <mergeCell ref="I152:J152"/>
    <mergeCell ref="K152:M152"/>
    <mergeCell ref="I157:J157"/>
    <mergeCell ref="K157:M157"/>
    <mergeCell ref="I161:J161"/>
    <mergeCell ref="K161:M161"/>
    <mergeCell ref="I162:J162"/>
    <mergeCell ref="K162:M162"/>
    <mergeCell ref="I171:J171"/>
    <mergeCell ref="K171:M171"/>
    <mergeCell ref="I172:J172"/>
    <mergeCell ref="K172:M172"/>
    <mergeCell ref="I39:J39"/>
    <mergeCell ref="K39:M39"/>
    <mergeCell ref="I40:J40"/>
    <mergeCell ref="K40:M40"/>
    <mergeCell ref="I32:J32"/>
    <mergeCell ref="K32:M32"/>
    <mergeCell ref="I33:J33"/>
    <mergeCell ref="K33:M33"/>
    <mergeCell ref="I37:J37"/>
    <mergeCell ref="K37:M37"/>
    <mergeCell ref="I38:J38"/>
    <mergeCell ref="K38:M38"/>
    <mergeCell ref="I52:J52"/>
    <mergeCell ref="K52:M52"/>
    <mergeCell ref="I44:J44"/>
    <mergeCell ref="K44:M44"/>
    <mergeCell ref="I46:J46"/>
    <mergeCell ref="K46:M46"/>
    <mergeCell ref="I48:J48"/>
    <mergeCell ref="K48:M48"/>
    <mergeCell ref="I45:J45"/>
    <mergeCell ref="K45:M45"/>
    <mergeCell ref="I47:J47"/>
    <mergeCell ref="K47:M47"/>
    <mergeCell ref="I53:J53"/>
    <mergeCell ref="K53:M53"/>
    <mergeCell ref="I54:J54"/>
    <mergeCell ref="K54:M54"/>
    <mergeCell ref="I55:J55"/>
    <mergeCell ref="K55:M55"/>
    <mergeCell ref="I56:J56"/>
    <mergeCell ref="K56:M56"/>
    <mergeCell ref="I57:J57"/>
    <mergeCell ref="K57:M57"/>
    <mergeCell ref="I63:J63"/>
    <mergeCell ref="K63:M63"/>
    <mergeCell ref="I64:J64"/>
    <mergeCell ref="K64:M64"/>
    <mergeCell ref="I68:J68"/>
    <mergeCell ref="K68:M68"/>
    <mergeCell ref="I69:J69"/>
    <mergeCell ref="K69:M69"/>
    <mergeCell ref="I61:J61"/>
    <mergeCell ref="K61:M61"/>
    <mergeCell ref="I62:J62"/>
    <mergeCell ref="K62:M62"/>
    <mergeCell ref="I80:J80"/>
    <mergeCell ref="K80:M80"/>
    <mergeCell ref="I81:J81"/>
    <mergeCell ref="K81:M81"/>
    <mergeCell ref="I82:J82"/>
    <mergeCell ref="K82:M82"/>
    <mergeCell ref="I73:J73"/>
    <mergeCell ref="K73:M73"/>
    <mergeCell ref="I74:J74"/>
    <mergeCell ref="K74:M74"/>
    <mergeCell ref="I75:J75"/>
    <mergeCell ref="K75:M75"/>
    <mergeCell ref="I79:J79"/>
    <mergeCell ref="K79:M79"/>
    <mergeCell ref="I90:J90"/>
    <mergeCell ref="K90:M90"/>
    <mergeCell ref="I83:J83"/>
    <mergeCell ref="K83:M83"/>
    <mergeCell ref="I84:J84"/>
    <mergeCell ref="K84:M84"/>
    <mergeCell ref="I91:J91"/>
    <mergeCell ref="K91:M91"/>
    <mergeCell ref="I92:J92"/>
    <mergeCell ref="K92:M92"/>
    <mergeCell ref="I85:J85"/>
    <mergeCell ref="K85:M85"/>
    <mergeCell ref="I86:J86"/>
    <mergeCell ref="K86:M86"/>
    <mergeCell ref="I99:J99"/>
    <mergeCell ref="K99:M99"/>
    <mergeCell ref="I100:J100"/>
    <mergeCell ref="K100:M100"/>
    <mergeCell ref="I101:J101"/>
    <mergeCell ref="K101:M101"/>
    <mergeCell ref="I93:J93"/>
    <mergeCell ref="K93:M93"/>
    <mergeCell ref="I94:J94"/>
    <mergeCell ref="K94:M94"/>
    <mergeCell ref="I95:J95"/>
    <mergeCell ref="K95:M95"/>
    <mergeCell ref="I110:J110"/>
    <mergeCell ref="K110:M110"/>
    <mergeCell ref="I111:J111"/>
    <mergeCell ref="K111:M111"/>
    <mergeCell ref="I115:J115"/>
    <mergeCell ref="K115:M115"/>
    <mergeCell ref="I116:J116"/>
    <mergeCell ref="K116:M116"/>
    <mergeCell ref="I105:J105"/>
    <mergeCell ref="K105:M105"/>
    <mergeCell ref="I106:J106"/>
    <mergeCell ref="K106:M106"/>
    <mergeCell ref="I107:J107"/>
    <mergeCell ref="K107:M107"/>
    <mergeCell ref="I108:J108"/>
    <mergeCell ref="K108:M108"/>
    <mergeCell ref="I109:J109"/>
    <mergeCell ref="K109:M109"/>
    <mergeCell ref="I122:J122"/>
    <mergeCell ref="K122:M122"/>
    <mergeCell ref="I123:J123"/>
    <mergeCell ref="K123:M123"/>
    <mergeCell ref="I124:J124"/>
    <mergeCell ref="K124:M124"/>
    <mergeCell ref="I125:J125"/>
    <mergeCell ref="K125:M125"/>
    <mergeCell ref="I120:J120"/>
    <mergeCell ref="K120:M120"/>
    <mergeCell ref="I121:J121"/>
    <mergeCell ref="K121:M121"/>
    <mergeCell ref="I145:J145"/>
    <mergeCell ref="K145:M145"/>
    <mergeCell ref="I146:J146"/>
    <mergeCell ref="K146:M146"/>
    <mergeCell ref="I151:J151"/>
    <mergeCell ref="K151:M151"/>
    <mergeCell ref="I139:J139"/>
    <mergeCell ref="K139:M139"/>
    <mergeCell ref="I140:J140"/>
    <mergeCell ref="K140:M140"/>
    <mergeCell ref="I141:J141"/>
    <mergeCell ref="K141:M141"/>
    <mergeCell ref="I2:J2"/>
    <mergeCell ref="K2:M2"/>
    <mergeCell ref="I102:J102"/>
    <mergeCell ref="I103:J103"/>
    <mergeCell ref="I142:J142"/>
    <mergeCell ref="I153:J153"/>
    <mergeCell ref="I166:J166"/>
    <mergeCell ref="K166:M166"/>
    <mergeCell ref="I167:J167"/>
    <mergeCell ref="K167:M167"/>
    <mergeCell ref="I133:J133"/>
    <mergeCell ref="K133:M133"/>
    <mergeCell ref="I134:J134"/>
    <mergeCell ref="K134:M134"/>
    <mergeCell ref="I135:J135"/>
    <mergeCell ref="K135:M135"/>
    <mergeCell ref="I126:J126"/>
    <mergeCell ref="K126:M126"/>
    <mergeCell ref="I127:J127"/>
    <mergeCell ref="K127:M127"/>
    <mergeCell ref="I131:J131"/>
    <mergeCell ref="K131:M131"/>
    <mergeCell ref="I132:J132"/>
    <mergeCell ref="K132:M132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8B63-8C6F-4AFD-8276-6825776260A0}">
  <dimension ref="A1:R1656"/>
  <sheetViews>
    <sheetView topLeftCell="A37" zoomScale="64" zoomScaleNormal="64" workbookViewId="0">
      <selection activeCell="I52" sqref="I52:R52"/>
    </sheetView>
  </sheetViews>
  <sheetFormatPr defaultRowHeight="26.25"/>
  <cols>
    <col min="2" max="2" width="8.85546875" style="51"/>
    <col min="3" max="3" width="47.5703125" style="37" customWidth="1"/>
    <col min="4" max="4" width="38.28515625" customWidth="1"/>
    <col min="5" max="5" width="8.140625" customWidth="1"/>
    <col min="6" max="6" width="25" customWidth="1"/>
    <col min="7" max="7" width="8.85546875" style="109"/>
    <col min="8" max="8" width="14.7109375" style="55" customWidth="1"/>
    <col min="9" max="9" width="11" style="121" customWidth="1"/>
    <col min="10" max="10" width="5.85546875" customWidth="1"/>
    <col min="11" max="11" width="11.28515625" customWidth="1"/>
    <col min="12" max="12" width="3.28515625" customWidth="1"/>
    <col min="13" max="13" width="4.42578125" customWidth="1"/>
    <col min="15" max="15" width="16.140625" customWidth="1"/>
  </cols>
  <sheetData>
    <row r="1" spans="1:18">
      <c r="I1" s="55"/>
    </row>
    <row r="2" spans="1:18">
      <c r="A2" s="3"/>
      <c r="B2" s="52" t="s">
        <v>1</v>
      </c>
      <c r="C2" s="38" t="s">
        <v>263</v>
      </c>
      <c r="D2" s="26"/>
      <c r="E2" s="27" t="s">
        <v>1</v>
      </c>
      <c r="F2" s="38" t="s">
        <v>262</v>
      </c>
      <c r="G2" s="108"/>
      <c r="H2" s="56"/>
      <c r="I2" s="139"/>
      <c r="J2" s="139"/>
      <c r="K2" s="140"/>
      <c r="L2" s="140"/>
      <c r="M2" s="140"/>
      <c r="N2" s="3"/>
      <c r="O2" s="3"/>
      <c r="P2" s="3"/>
      <c r="Q2" s="3"/>
      <c r="R2" s="3"/>
    </row>
    <row r="3" spans="1:18">
      <c r="A3" s="3"/>
      <c r="B3" s="128" t="s">
        <v>291</v>
      </c>
      <c r="C3" s="130"/>
      <c r="D3" s="129" t="s">
        <v>292</v>
      </c>
      <c r="E3" s="130"/>
      <c r="F3" s="130"/>
      <c r="G3" s="130"/>
      <c r="H3" s="129" t="s">
        <v>293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22"/>
    </row>
    <row r="5" spans="1:18">
      <c r="I5" s="122"/>
    </row>
    <row r="6" spans="1:18">
      <c r="I6" s="122"/>
    </row>
    <row r="7" spans="1:18">
      <c r="I7" s="122"/>
    </row>
    <row r="8" spans="1:18">
      <c r="I8" s="122"/>
    </row>
    <row r="9" spans="1:18">
      <c r="I9" s="122"/>
    </row>
    <row r="10" spans="1:18">
      <c r="I10" s="122"/>
    </row>
    <row r="11" spans="1:18">
      <c r="I11" s="122"/>
    </row>
    <row r="12" spans="1:18">
      <c r="I12" s="122"/>
    </row>
    <row r="13" spans="1:18">
      <c r="I13" s="122"/>
    </row>
    <row r="14" spans="1:18">
      <c r="I14" s="122"/>
    </row>
    <row r="15" spans="1:18">
      <c r="I15" s="122"/>
    </row>
    <row r="16" spans="1:18" ht="28.5">
      <c r="D16" s="12"/>
      <c r="I16" s="122"/>
    </row>
    <row r="17" spans="1:18">
      <c r="I17" s="122"/>
    </row>
    <row r="18" spans="1:18">
      <c r="I18" s="122"/>
    </row>
    <row r="19" spans="1:18">
      <c r="I19" s="122"/>
    </row>
    <row r="20" spans="1:18">
      <c r="A20" s="3"/>
      <c r="B20" s="52" t="s">
        <v>1</v>
      </c>
      <c r="C20" s="38" t="s">
        <v>297</v>
      </c>
      <c r="D20" s="26" t="s">
        <v>1</v>
      </c>
      <c r="E20" s="27" t="s">
        <v>1</v>
      </c>
      <c r="F20" s="28" t="s">
        <v>1</v>
      </c>
      <c r="G20" s="110" t="s">
        <v>1</v>
      </c>
      <c r="H20" s="56" t="s">
        <v>1</v>
      </c>
      <c r="I20" s="139">
        <f>+I192</f>
        <v>0</v>
      </c>
      <c r="J20" s="139"/>
      <c r="K20" s="140">
        <f>+K192</f>
        <v>0</v>
      </c>
      <c r="L20" s="140"/>
      <c r="M20" s="140"/>
      <c r="N20" s="3"/>
      <c r="O20" s="3"/>
      <c r="P20" s="3"/>
      <c r="Q20" s="3"/>
      <c r="R20" s="3"/>
    </row>
    <row r="21" spans="1:18">
      <c r="I21" s="122"/>
    </row>
    <row r="22" spans="1:18">
      <c r="B22" s="53"/>
      <c r="C22" s="2" t="s">
        <v>53</v>
      </c>
      <c r="D22" s="2"/>
      <c r="E22" s="3"/>
      <c r="F22" s="3"/>
      <c r="G22" s="111"/>
      <c r="H22" s="57"/>
      <c r="I22" s="57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277</v>
      </c>
      <c r="D23" s="94"/>
      <c r="E23" s="96" t="s">
        <v>278</v>
      </c>
      <c r="F23" s="96"/>
      <c r="G23" s="112" t="s">
        <v>289</v>
      </c>
      <c r="H23" s="95" t="s">
        <v>279</v>
      </c>
      <c r="I23" s="123" t="s">
        <v>290</v>
      </c>
      <c r="J23" s="124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113" t="s">
        <v>0</v>
      </c>
      <c r="H24" s="85">
        <v>25</v>
      </c>
      <c r="I24" s="141">
        <v>0</v>
      </c>
      <c r="J24" s="141"/>
      <c r="K24" s="142">
        <f>+H24*I24</f>
        <v>0</v>
      </c>
      <c r="L24" s="142"/>
      <c r="M24" s="142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114" t="s">
        <v>0</v>
      </c>
      <c r="H25" s="83">
        <v>25</v>
      </c>
      <c r="I25" s="141">
        <v>0</v>
      </c>
      <c r="J25" s="141"/>
      <c r="K25" s="143">
        <f>+H25*I25</f>
        <v>0</v>
      </c>
      <c r="L25" s="143"/>
      <c r="M25" s="143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113" t="s">
        <v>0</v>
      </c>
      <c r="H26" s="85">
        <v>25</v>
      </c>
      <c r="I26" s="141">
        <v>0</v>
      </c>
      <c r="J26" s="141"/>
      <c r="K26" s="142">
        <f>+H26*I26</f>
        <v>0</v>
      </c>
      <c r="L26" s="142"/>
      <c r="M26" s="142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114" t="s">
        <v>0</v>
      </c>
      <c r="H27" s="83">
        <v>25</v>
      </c>
      <c r="I27" s="141">
        <v>0</v>
      </c>
      <c r="J27" s="141"/>
      <c r="K27" s="143">
        <f>+H27*I27</f>
        <v>0</v>
      </c>
      <c r="L27" s="143"/>
      <c r="M27" s="143"/>
      <c r="N27" s="4"/>
    </row>
    <row r="28" spans="1:18">
      <c r="B28" s="75"/>
      <c r="C28" s="76"/>
      <c r="D28" s="77"/>
      <c r="E28" s="77"/>
      <c r="F28" s="77"/>
      <c r="G28" s="115"/>
      <c r="H28" s="78"/>
      <c r="I28" s="78"/>
      <c r="J28" s="78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111"/>
      <c r="H29" s="57"/>
      <c r="I29" s="57"/>
      <c r="J29" s="57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277</v>
      </c>
      <c r="D30" s="94"/>
      <c r="E30" s="96" t="s">
        <v>278</v>
      </c>
      <c r="F30" s="96"/>
      <c r="G30" s="112" t="s">
        <v>289</v>
      </c>
      <c r="H30" s="95" t="s">
        <v>279</v>
      </c>
      <c r="I30" s="123" t="s">
        <v>290</v>
      </c>
      <c r="J30" s="124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113" t="s">
        <v>0</v>
      </c>
      <c r="H31" s="85">
        <v>15</v>
      </c>
      <c r="I31" s="141">
        <v>0</v>
      </c>
      <c r="J31" s="141"/>
      <c r="K31" s="142">
        <f>+H31*R31</f>
        <v>0</v>
      </c>
      <c r="L31" s="142"/>
      <c r="M31" s="142"/>
      <c r="N31" s="4"/>
      <c r="Q31" s="154">
        <f>+INT(I31/3)</f>
        <v>0</v>
      </c>
      <c r="R31" s="154">
        <f>+I31-Q31</f>
        <v>0</v>
      </c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114" t="s">
        <v>0</v>
      </c>
      <c r="H32" s="83">
        <v>15</v>
      </c>
      <c r="I32" s="141">
        <v>0</v>
      </c>
      <c r="J32" s="141"/>
      <c r="K32" s="142">
        <f>+H32*R32</f>
        <v>0</v>
      </c>
      <c r="L32" s="142"/>
      <c r="M32" s="142"/>
      <c r="N32" s="4"/>
      <c r="Q32" s="154">
        <f>+INT(I32/3)</f>
        <v>0</v>
      </c>
      <c r="R32" s="154">
        <f>+I32-Q32</f>
        <v>0</v>
      </c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113" t="s">
        <v>0</v>
      </c>
      <c r="H33" s="85">
        <v>15</v>
      </c>
      <c r="I33" s="141">
        <v>0</v>
      </c>
      <c r="J33" s="141"/>
      <c r="K33" s="142">
        <f>+H33*R33</f>
        <v>0</v>
      </c>
      <c r="L33" s="142"/>
      <c r="M33" s="142"/>
      <c r="N33" s="4"/>
      <c r="Q33" s="154">
        <f>+INT(I33/3)</f>
        <v>0</v>
      </c>
      <c r="R33" s="154">
        <f>+I33-Q33</f>
        <v>0</v>
      </c>
    </row>
    <row r="34" spans="2:18">
      <c r="B34" s="75"/>
      <c r="C34" s="76"/>
      <c r="D34" s="77"/>
      <c r="E34" s="77"/>
      <c r="F34" s="77"/>
      <c r="G34" s="115"/>
      <c r="H34" s="78"/>
      <c r="I34" s="78"/>
      <c r="J34" s="78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111"/>
      <c r="H35" s="57"/>
      <c r="I35" s="57"/>
      <c r="J35" s="57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277</v>
      </c>
      <c r="D36" s="94"/>
      <c r="E36" s="96" t="s">
        <v>278</v>
      </c>
      <c r="F36" s="96"/>
      <c r="G36" s="112" t="s">
        <v>289</v>
      </c>
      <c r="H36" s="95" t="s">
        <v>279</v>
      </c>
      <c r="I36" s="123" t="s">
        <v>290</v>
      </c>
      <c r="J36" s="124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113" t="s">
        <v>0</v>
      </c>
      <c r="H37" s="85">
        <v>18</v>
      </c>
      <c r="I37" s="150">
        <v>0</v>
      </c>
      <c r="J37" s="150"/>
      <c r="K37" s="142">
        <f t="shared" ref="K37:K40" si="0">+H37*I37</f>
        <v>0</v>
      </c>
      <c r="L37" s="142"/>
      <c r="M37" s="142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114" t="s">
        <v>0</v>
      </c>
      <c r="H38" s="83">
        <v>18</v>
      </c>
      <c r="I38" s="150">
        <v>0</v>
      </c>
      <c r="J38" s="150"/>
      <c r="K38" s="143">
        <f t="shared" si="0"/>
        <v>0</v>
      </c>
      <c r="L38" s="143"/>
      <c r="M38" s="143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113" t="s">
        <v>0</v>
      </c>
      <c r="H39" s="85">
        <v>18</v>
      </c>
      <c r="I39" s="150">
        <v>0</v>
      </c>
      <c r="J39" s="150"/>
      <c r="K39" s="142">
        <f t="shared" si="0"/>
        <v>0</v>
      </c>
      <c r="L39" s="142"/>
      <c r="M39" s="142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114" t="s">
        <v>0</v>
      </c>
      <c r="H40" s="83">
        <v>18</v>
      </c>
      <c r="I40" s="150">
        <v>0</v>
      </c>
      <c r="J40" s="150"/>
      <c r="K40" s="143">
        <f t="shared" si="0"/>
        <v>0</v>
      </c>
      <c r="L40" s="143"/>
      <c r="M40" s="143"/>
      <c r="N40" s="4"/>
    </row>
    <row r="41" spans="2:18">
      <c r="B41" s="75"/>
      <c r="C41" s="76"/>
      <c r="D41" s="77"/>
      <c r="E41" s="77"/>
      <c r="F41" s="77"/>
      <c r="G41" s="115"/>
      <c r="H41" s="78"/>
      <c r="I41" s="78"/>
      <c r="J41" s="78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111"/>
      <c r="H42" s="57"/>
      <c r="I42" s="57"/>
      <c r="J42" s="57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277</v>
      </c>
      <c r="D43" s="94"/>
      <c r="E43" s="96" t="s">
        <v>278</v>
      </c>
      <c r="F43" s="96"/>
      <c r="G43" s="112" t="s">
        <v>289</v>
      </c>
      <c r="H43" s="95" t="s">
        <v>279</v>
      </c>
      <c r="I43" s="123" t="s">
        <v>290</v>
      </c>
      <c r="J43" s="124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113" t="s">
        <v>0</v>
      </c>
      <c r="H44" s="85">
        <v>18</v>
      </c>
      <c r="I44" s="150">
        <v>0</v>
      </c>
      <c r="J44" s="150"/>
      <c r="K44" s="142">
        <f t="shared" ref="K44:K48" si="1">+H44*I44</f>
        <v>0</v>
      </c>
      <c r="L44" s="142"/>
      <c r="M44" s="142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114" t="s">
        <v>0</v>
      </c>
      <c r="H45" s="83">
        <v>18</v>
      </c>
      <c r="I45" s="150">
        <v>0</v>
      </c>
      <c r="J45" s="150"/>
      <c r="K45" s="143">
        <f t="shared" si="1"/>
        <v>0</v>
      </c>
      <c r="L45" s="143"/>
      <c r="M45" s="143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113" t="s">
        <v>0</v>
      </c>
      <c r="H46" s="85">
        <v>18</v>
      </c>
      <c r="I46" s="150">
        <v>0</v>
      </c>
      <c r="J46" s="150"/>
      <c r="K46" s="142">
        <f t="shared" si="1"/>
        <v>0</v>
      </c>
      <c r="L46" s="142"/>
      <c r="M46" s="142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114" t="s">
        <v>0</v>
      </c>
      <c r="H47" s="83">
        <v>18</v>
      </c>
      <c r="I47" s="150">
        <v>0</v>
      </c>
      <c r="J47" s="150"/>
      <c r="K47" s="143">
        <f t="shared" si="1"/>
        <v>0</v>
      </c>
      <c r="L47" s="143"/>
      <c r="M47" s="143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113" t="s">
        <v>0</v>
      </c>
      <c r="H48" s="85">
        <v>18</v>
      </c>
      <c r="I48" s="150">
        <v>0</v>
      </c>
      <c r="J48" s="150"/>
      <c r="K48" s="142">
        <f t="shared" si="1"/>
        <v>0</v>
      </c>
      <c r="L48" s="142"/>
      <c r="M48" s="142"/>
      <c r="N48" s="4"/>
    </row>
    <row r="49" spans="2:18">
      <c r="B49" s="76"/>
      <c r="C49" s="76"/>
      <c r="D49" s="77"/>
      <c r="E49" s="77"/>
      <c r="F49" s="77"/>
      <c r="G49" s="115"/>
      <c r="H49" s="78"/>
      <c r="I49" s="78"/>
      <c r="J49" s="78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111"/>
      <c r="H50" s="57"/>
      <c r="I50" s="57"/>
      <c r="J50" s="57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277</v>
      </c>
      <c r="D51" s="94"/>
      <c r="E51" s="96" t="s">
        <v>278</v>
      </c>
      <c r="F51" s="96"/>
      <c r="G51" s="112" t="s">
        <v>289</v>
      </c>
      <c r="H51" s="95" t="s">
        <v>279</v>
      </c>
      <c r="I51" s="123" t="s">
        <v>290</v>
      </c>
      <c r="J51" s="124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113" t="s">
        <v>0</v>
      </c>
      <c r="H52" s="85">
        <v>15</v>
      </c>
      <c r="I52" s="141">
        <v>0</v>
      </c>
      <c r="J52" s="141"/>
      <c r="K52" s="142">
        <f t="shared" ref="K52:K57" si="2">+H52*R52</f>
        <v>0</v>
      </c>
      <c r="L52" s="142"/>
      <c r="M52" s="142"/>
      <c r="N52" s="4"/>
      <c r="Q52" s="154">
        <f t="shared" ref="Q52:Q57" si="3">+INT(I52/3)</f>
        <v>0</v>
      </c>
      <c r="R52" s="154">
        <f t="shared" ref="R52:R57" si="4">+I52-Q52</f>
        <v>0</v>
      </c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114" t="s">
        <v>0</v>
      </c>
      <c r="H53" s="83">
        <v>15</v>
      </c>
      <c r="I53" s="141">
        <v>0</v>
      </c>
      <c r="J53" s="141"/>
      <c r="K53" s="142">
        <f t="shared" si="2"/>
        <v>0</v>
      </c>
      <c r="L53" s="142"/>
      <c r="M53" s="142"/>
      <c r="N53" s="4"/>
      <c r="Q53" s="154">
        <f t="shared" si="3"/>
        <v>0</v>
      </c>
      <c r="R53" s="154">
        <f t="shared" si="4"/>
        <v>0</v>
      </c>
    </row>
    <row r="54" spans="2:18">
      <c r="B54" s="54" t="s">
        <v>84</v>
      </c>
      <c r="C54" s="40" t="s">
        <v>245</v>
      </c>
      <c r="D54" s="7"/>
      <c r="E54" s="22" t="s">
        <v>246</v>
      </c>
      <c r="F54" s="7"/>
      <c r="G54" s="114" t="s">
        <v>0</v>
      </c>
      <c r="H54" s="83">
        <v>30</v>
      </c>
      <c r="I54" s="141">
        <v>0</v>
      </c>
      <c r="J54" s="141"/>
      <c r="K54" s="142">
        <f t="shared" si="2"/>
        <v>0</v>
      </c>
      <c r="L54" s="142"/>
      <c r="M54" s="142"/>
      <c r="N54" s="4"/>
      <c r="Q54" s="154">
        <f t="shared" si="3"/>
        <v>0</v>
      </c>
      <c r="R54" s="154">
        <f t="shared" si="4"/>
        <v>0</v>
      </c>
    </row>
    <row r="55" spans="2:18">
      <c r="B55" s="54" t="s">
        <v>85</v>
      </c>
      <c r="C55" s="39" t="s">
        <v>88</v>
      </c>
      <c r="D55" s="11"/>
      <c r="E55" s="25" t="s">
        <v>247</v>
      </c>
      <c r="F55" s="11"/>
      <c r="G55" s="113" t="s">
        <v>0</v>
      </c>
      <c r="H55" s="85">
        <v>24</v>
      </c>
      <c r="I55" s="141">
        <v>0</v>
      </c>
      <c r="J55" s="141"/>
      <c r="K55" s="142">
        <f t="shared" si="2"/>
        <v>0</v>
      </c>
      <c r="L55" s="142"/>
      <c r="M55" s="142"/>
      <c r="N55" s="4"/>
      <c r="Q55" s="154">
        <f t="shared" si="3"/>
        <v>0</v>
      </c>
      <c r="R55" s="154">
        <f t="shared" si="4"/>
        <v>0</v>
      </c>
    </row>
    <row r="56" spans="2:18">
      <c r="B56" s="54" t="s">
        <v>86</v>
      </c>
      <c r="C56" s="40" t="s">
        <v>89</v>
      </c>
      <c r="D56" s="7"/>
      <c r="E56" s="22" t="s">
        <v>248</v>
      </c>
      <c r="F56" s="7"/>
      <c r="G56" s="114" t="s">
        <v>0</v>
      </c>
      <c r="H56" s="83">
        <v>18</v>
      </c>
      <c r="I56" s="141">
        <v>0</v>
      </c>
      <c r="J56" s="141"/>
      <c r="K56" s="142">
        <f t="shared" si="2"/>
        <v>0</v>
      </c>
      <c r="L56" s="142"/>
      <c r="M56" s="142"/>
      <c r="N56" s="4"/>
      <c r="Q56" s="154">
        <f t="shared" si="3"/>
        <v>0</v>
      </c>
      <c r="R56" s="154">
        <f t="shared" si="4"/>
        <v>0</v>
      </c>
    </row>
    <row r="57" spans="2:18">
      <c r="B57" s="54" t="s">
        <v>87</v>
      </c>
      <c r="C57" s="39" t="s">
        <v>90</v>
      </c>
      <c r="D57" s="11"/>
      <c r="E57" s="25" t="s">
        <v>249</v>
      </c>
      <c r="F57" s="11"/>
      <c r="G57" s="113" t="s">
        <v>0</v>
      </c>
      <c r="H57" s="85">
        <v>18</v>
      </c>
      <c r="I57" s="141">
        <v>0</v>
      </c>
      <c r="J57" s="141"/>
      <c r="K57" s="142">
        <f t="shared" si="2"/>
        <v>0</v>
      </c>
      <c r="L57" s="142"/>
      <c r="M57" s="142"/>
      <c r="N57" s="4"/>
      <c r="Q57" s="154">
        <f t="shared" si="3"/>
        <v>0</v>
      </c>
      <c r="R57" s="154">
        <f t="shared" si="4"/>
        <v>0</v>
      </c>
    </row>
    <row r="58" spans="2:18">
      <c r="B58" s="75"/>
      <c r="C58" s="76"/>
      <c r="D58" s="77"/>
      <c r="E58" s="77"/>
      <c r="F58" s="77"/>
      <c r="G58" s="115"/>
      <c r="H58" s="78"/>
      <c r="I58" s="78"/>
      <c r="J58" s="78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350</v>
      </c>
      <c r="D59" s="2"/>
      <c r="E59" s="3"/>
      <c r="F59" s="3"/>
      <c r="G59" s="111"/>
      <c r="H59" s="57"/>
      <c r="I59" s="57"/>
      <c r="J59" s="57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277</v>
      </c>
      <c r="D60" s="94"/>
      <c r="E60" s="96" t="s">
        <v>278</v>
      </c>
      <c r="F60" s="96"/>
      <c r="G60" s="112" t="s">
        <v>289</v>
      </c>
      <c r="H60" s="95" t="s">
        <v>279</v>
      </c>
      <c r="I60" s="123" t="s">
        <v>290</v>
      </c>
      <c r="J60" s="124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116" t="s">
        <v>2</v>
      </c>
      <c r="H61" s="87">
        <v>6</v>
      </c>
      <c r="I61" s="151">
        <v>0</v>
      </c>
      <c r="J61" s="151"/>
      <c r="K61" s="145">
        <f t="shared" ref="K61:K64" si="5">+H61*I61</f>
        <v>0</v>
      </c>
      <c r="L61" s="145"/>
      <c r="M61" s="145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117" t="s">
        <v>2</v>
      </c>
      <c r="H62" s="89">
        <v>6</v>
      </c>
      <c r="I62" s="151">
        <v>0</v>
      </c>
      <c r="J62" s="151"/>
      <c r="K62" s="146">
        <f t="shared" si="5"/>
        <v>0</v>
      </c>
      <c r="L62" s="146"/>
      <c r="M62" s="146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116" t="s">
        <v>2</v>
      </c>
      <c r="H63" s="87">
        <v>6</v>
      </c>
      <c r="I63" s="151">
        <v>0</v>
      </c>
      <c r="J63" s="151"/>
      <c r="K63" s="145">
        <f t="shared" si="5"/>
        <v>0</v>
      </c>
      <c r="L63" s="145"/>
      <c r="M63" s="145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117" t="s">
        <v>2</v>
      </c>
      <c r="H64" s="89">
        <v>6</v>
      </c>
      <c r="I64" s="151">
        <v>0</v>
      </c>
      <c r="J64" s="151"/>
      <c r="K64" s="146">
        <f t="shared" si="5"/>
        <v>0</v>
      </c>
      <c r="L64" s="146"/>
      <c r="M64" s="146"/>
      <c r="N64" s="4"/>
    </row>
    <row r="65" spans="2:18">
      <c r="B65" s="75"/>
      <c r="C65" s="76"/>
      <c r="D65" s="77"/>
      <c r="E65" s="77"/>
      <c r="F65" s="77"/>
      <c r="G65" s="115"/>
      <c r="H65" s="78"/>
      <c r="I65" s="78"/>
      <c r="J65" s="78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351</v>
      </c>
      <c r="D66" s="2"/>
      <c r="E66" s="3"/>
      <c r="F66" s="3"/>
      <c r="G66" s="111"/>
      <c r="H66" s="57"/>
      <c r="I66" s="57"/>
      <c r="J66" s="57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277</v>
      </c>
      <c r="D67" s="94"/>
      <c r="E67" s="96" t="s">
        <v>278</v>
      </c>
      <c r="F67" s="96"/>
      <c r="G67" s="112" t="s">
        <v>289</v>
      </c>
      <c r="H67" s="95" t="s">
        <v>279</v>
      </c>
      <c r="I67" s="123" t="s">
        <v>290</v>
      </c>
      <c r="J67" s="124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118" t="s">
        <v>96</v>
      </c>
      <c r="H68" s="91">
        <v>20</v>
      </c>
      <c r="I68" s="150">
        <v>0</v>
      </c>
      <c r="J68" s="150"/>
      <c r="K68" s="147">
        <f t="shared" ref="K68:K69" si="6">+H68*I68</f>
        <v>0</v>
      </c>
      <c r="L68" s="147"/>
      <c r="M68" s="147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113" t="s">
        <v>96</v>
      </c>
      <c r="H69" s="85">
        <v>20</v>
      </c>
      <c r="I69" s="150">
        <v>0</v>
      </c>
      <c r="J69" s="150"/>
      <c r="K69" s="142">
        <f t="shared" si="6"/>
        <v>0</v>
      </c>
      <c r="L69" s="142"/>
      <c r="M69" s="142"/>
      <c r="N69" s="4"/>
    </row>
    <row r="70" spans="2:18">
      <c r="B70" s="75"/>
      <c r="C70" s="76"/>
      <c r="D70" s="77"/>
      <c r="E70" s="77"/>
      <c r="F70" s="77"/>
      <c r="G70" s="115"/>
      <c r="H70" s="78"/>
      <c r="I70" s="78"/>
      <c r="J70" s="78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111"/>
      <c r="H71" s="57"/>
      <c r="I71" s="57"/>
      <c r="J71" s="57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277</v>
      </c>
      <c r="D72" s="94"/>
      <c r="E72" s="96" t="s">
        <v>278</v>
      </c>
      <c r="F72" s="96"/>
      <c r="G72" s="112" t="s">
        <v>289</v>
      </c>
      <c r="H72" s="95" t="s">
        <v>279</v>
      </c>
      <c r="I72" s="123" t="s">
        <v>290</v>
      </c>
      <c r="J72" s="124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113" t="s">
        <v>0</v>
      </c>
      <c r="H73" s="85">
        <v>20</v>
      </c>
      <c r="I73" s="141">
        <v>0</v>
      </c>
      <c r="J73" s="141"/>
      <c r="K73" s="142">
        <f t="shared" ref="K73:K75" si="7">+H73*R73</f>
        <v>0</v>
      </c>
      <c r="L73" s="142"/>
      <c r="M73" s="142"/>
      <c r="N73" s="4"/>
      <c r="Q73" s="154">
        <f t="shared" ref="Q73:Q75" si="8">+INT(I73/3)</f>
        <v>0</v>
      </c>
      <c r="R73" s="154">
        <f t="shared" ref="R73:R75" si="9">+I73-Q73</f>
        <v>0</v>
      </c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114" t="s">
        <v>0</v>
      </c>
      <c r="H74" s="83">
        <v>20</v>
      </c>
      <c r="I74" s="141">
        <v>0</v>
      </c>
      <c r="J74" s="141"/>
      <c r="K74" s="142">
        <f t="shared" si="7"/>
        <v>0</v>
      </c>
      <c r="L74" s="142"/>
      <c r="M74" s="142"/>
      <c r="N74" s="4"/>
      <c r="Q74" s="154">
        <f t="shared" si="8"/>
        <v>0</v>
      </c>
      <c r="R74" s="154">
        <f t="shared" si="9"/>
        <v>0</v>
      </c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113" t="s">
        <v>0</v>
      </c>
      <c r="H75" s="85">
        <v>20</v>
      </c>
      <c r="I75" s="141">
        <v>0</v>
      </c>
      <c r="J75" s="141"/>
      <c r="K75" s="142">
        <f t="shared" si="7"/>
        <v>0</v>
      </c>
      <c r="L75" s="142"/>
      <c r="M75" s="142"/>
      <c r="N75" s="4"/>
      <c r="Q75" s="154">
        <f t="shared" si="8"/>
        <v>0</v>
      </c>
      <c r="R75" s="154">
        <f t="shared" si="9"/>
        <v>0</v>
      </c>
    </row>
    <row r="76" spans="2:18">
      <c r="B76" s="75"/>
      <c r="C76" s="76"/>
      <c r="D76" s="77"/>
      <c r="E76" s="77"/>
      <c r="F76" s="77"/>
      <c r="G76" s="115"/>
      <c r="H76" s="78"/>
      <c r="I76" s="78"/>
      <c r="J76" s="78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305</v>
      </c>
      <c r="D77" s="2"/>
      <c r="E77" s="3"/>
      <c r="F77" s="3"/>
      <c r="G77" s="111"/>
      <c r="H77" s="57"/>
      <c r="I77" s="57"/>
      <c r="J77" s="57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277</v>
      </c>
      <c r="D78" s="94"/>
      <c r="E78" s="96" t="s">
        <v>278</v>
      </c>
      <c r="F78" s="96"/>
      <c r="G78" s="112" t="s">
        <v>289</v>
      </c>
      <c r="H78" s="95" t="s">
        <v>279</v>
      </c>
      <c r="I78" s="123" t="s">
        <v>290</v>
      </c>
      <c r="J78" s="124"/>
      <c r="K78" s="96"/>
      <c r="L78" s="96"/>
      <c r="M78" s="96"/>
      <c r="N78" s="19"/>
    </row>
    <row r="79" spans="2:18">
      <c r="B79" s="54" t="s">
        <v>103</v>
      </c>
      <c r="C79" s="46" t="s">
        <v>299</v>
      </c>
      <c r="E79" s="100" t="s">
        <v>112</v>
      </c>
      <c r="F79" s="7"/>
      <c r="G79" s="114" t="s">
        <v>107</v>
      </c>
      <c r="H79" s="83">
        <v>8</v>
      </c>
      <c r="I79" s="150">
        <v>0</v>
      </c>
      <c r="J79" s="150"/>
      <c r="K79" s="143">
        <f t="shared" ref="K79:K86" si="10">+H79*I79</f>
        <v>0</v>
      </c>
      <c r="L79" s="143"/>
      <c r="M79" s="143"/>
      <c r="N79" s="4"/>
    </row>
    <row r="80" spans="2:18">
      <c r="B80" s="54" t="s">
        <v>104</v>
      </c>
      <c r="C80" s="47" t="s">
        <v>109</v>
      </c>
      <c r="D80" s="33"/>
      <c r="E80" s="99" t="s">
        <v>112</v>
      </c>
      <c r="F80" s="9"/>
      <c r="G80" s="119" t="s">
        <v>107</v>
      </c>
      <c r="H80" s="81">
        <v>8</v>
      </c>
      <c r="I80" s="150">
        <v>0</v>
      </c>
      <c r="J80" s="150"/>
      <c r="K80" s="144">
        <f t="shared" si="10"/>
        <v>0</v>
      </c>
      <c r="L80" s="144"/>
      <c r="M80" s="144"/>
      <c r="N80" s="4"/>
    </row>
    <row r="81" spans="2:18">
      <c r="B81" s="54" t="s">
        <v>105</v>
      </c>
      <c r="C81" s="46" t="s">
        <v>300</v>
      </c>
      <c r="E81" s="100" t="s">
        <v>112</v>
      </c>
      <c r="F81" s="7"/>
      <c r="G81" s="114" t="s">
        <v>107</v>
      </c>
      <c r="H81" s="83">
        <v>8</v>
      </c>
      <c r="I81" s="150">
        <v>0</v>
      </c>
      <c r="J81" s="150"/>
      <c r="K81" s="143">
        <f t="shared" si="10"/>
        <v>0</v>
      </c>
      <c r="L81" s="143"/>
      <c r="M81" s="143"/>
      <c r="N81" s="4"/>
    </row>
    <row r="82" spans="2:18">
      <c r="B82" s="54" t="s">
        <v>106</v>
      </c>
      <c r="C82" s="47" t="s">
        <v>301</v>
      </c>
      <c r="D82" s="33"/>
      <c r="E82" s="99" t="s">
        <v>112</v>
      </c>
      <c r="F82" s="9"/>
      <c r="G82" s="119" t="s">
        <v>253</v>
      </c>
      <c r="H82" s="81">
        <v>8</v>
      </c>
      <c r="I82" s="150">
        <v>0</v>
      </c>
      <c r="J82" s="150"/>
      <c r="K82" s="144">
        <f t="shared" si="10"/>
        <v>0</v>
      </c>
      <c r="L82" s="144"/>
      <c r="M82" s="144"/>
      <c r="N82" s="4"/>
    </row>
    <row r="83" spans="2:18">
      <c r="B83" s="54" t="s">
        <v>258</v>
      </c>
      <c r="C83" s="46" t="s">
        <v>302</v>
      </c>
      <c r="E83" s="100" t="s">
        <v>113</v>
      </c>
      <c r="F83" s="7"/>
      <c r="G83" s="114" t="s">
        <v>114</v>
      </c>
      <c r="H83" s="83">
        <v>6</v>
      </c>
      <c r="I83" s="150">
        <v>0</v>
      </c>
      <c r="J83" s="150"/>
      <c r="K83" s="143">
        <f t="shared" si="10"/>
        <v>0</v>
      </c>
      <c r="L83" s="143"/>
      <c r="M83" s="143"/>
      <c r="N83" s="4"/>
    </row>
    <row r="84" spans="2:18">
      <c r="B84" s="54" t="s">
        <v>259</v>
      </c>
      <c r="C84" s="47" t="s">
        <v>303</v>
      </c>
      <c r="D84" s="33"/>
      <c r="E84" s="99" t="s">
        <v>113</v>
      </c>
      <c r="F84" s="9"/>
      <c r="G84" s="119" t="s">
        <v>114</v>
      </c>
      <c r="H84" s="81">
        <v>6</v>
      </c>
      <c r="I84" s="150">
        <v>0</v>
      </c>
      <c r="J84" s="150"/>
      <c r="K84" s="144">
        <f t="shared" si="10"/>
        <v>0</v>
      </c>
      <c r="L84" s="144"/>
      <c r="M84" s="144"/>
      <c r="N84" s="4"/>
    </row>
    <row r="85" spans="2:18">
      <c r="B85" s="54" t="s">
        <v>260</v>
      </c>
      <c r="C85" s="46" t="s">
        <v>288</v>
      </c>
      <c r="E85" s="100" t="s">
        <v>113</v>
      </c>
      <c r="F85" s="7"/>
      <c r="G85" s="114" t="s">
        <v>114</v>
      </c>
      <c r="H85" s="83">
        <v>6</v>
      </c>
      <c r="I85" s="150">
        <v>0</v>
      </c>
      <c r="J85" s="150"/>
      <c r="K85" s="143">
        <f t="shared" si="10"/>
        <v>0</v>
      </c>
      <c r="L85" s="143"/>
      <c r="M85" s="143"/>
      <c r="N85" s="4"/>
    </row>
    <row r="86" spans="2:18">
      <c r="B86" s="54" t="s">
        <v>261</v>
      </c>
      <c r="C86" s="47" t="s">
        <v>304</v>
      </c>
      <c r="D86" s="33"/>
      <c r="E86" s="99" t="s">
        <v>113</v>
      </c>
      <c r="F86" s="9"/>
      <c r="G86" s="119" t="s">
        <v>114</v>
      </c>
      <c r="H86" s="81">
        <v>6</v>
      </c>
      <c r="I86" s="150">
        <v>0</v>
      </c>
      <c r="J86" s="150"/>
      <c r="K86" s="144">
        <f t="shared" si="10"/>
        <v>0</v>
      </c>
      <c r="L86" s="144"/>
      <c r="M86" s="144"/>
      <c r="N86" s="4"/>
    </row>
    <row r="87" spans="2:18">
      <c r="B87" s="76"/>
      <c r="C87" s="76"/>
      <c r="D87" s="77"/>
      <c r="E87" s="77"/>
      <c r="F87" s="77"/>
      <c r="G87" s="115"/>
      <c r="H87" s="78"/>
      <c r="I87" s="78"/>
      <c r="J87" s="78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298</v>
      </c>
      <c r="D88" s="2"/>
      <c r="E88" s="3"/>
      <c r="F88" s="3"/>
      <c r="G88" s="111"/>
      <c r="H88" s="57"/>
      <c r="I88" s="57"/>
      <c r="J88" s="57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277</v>
      </c>
      <c r="D89" s="94"/>
      <c r="E89" s="96" t="s">
        <v>278</v>
      </c>
      <c r="F89" s="96"/>
      <c r="G89" s="112" t="s">
        <v>289</v>
      </c>
      <c r="H89" s="95" t="s">
        <v>279</v>
      </c>
      <c r="I89" s="123" t="s">
        <v>290</v>
      </c>
      <c r="J89" s="124"/>
      <c r="K89" s="96"/>
      <c r="L89" s="96"/>
      <c r="M89" s="96"/>
      <c r="N89" s="19"/>
    </row>
    <row r="90" spans="2:18">
      <c r="B90" s="54" t="s">
        <v>125</v>
      </c>
      <c r="C90" s="46" t="s">
        <v>306</v>
      </c>
      <c r="D90" s="20"/>
      <c r="E90" s="7"/>
      <c r="F90" s="7"/>
      <c r="G90" s="114" t="s">
        <v>123</v>
      </c>
      <c r="H90" s="83">
        <v>6</v>
      </c>
      <c r="I90" s="150">
        <v>0</v>
      </c>
      <c r="J90" s="150"/>
      <c r="K90" s="143">
        <f t="shared" ref="K90:K95" si="11">+H90*I90</f>
        <v>0</v>
      </c>
      <c r="L90" s="143"/>
      <c r="M90" s="143"/>
      <c r="N90" s="4"/>
    </row>
    <row r="91" spans="2:18">
      <c r="B91" s="54" t="s">
        <v>126</v>
      </c>
      <c r="C91" s="47" t="s">
        <v>307</v>
      </c>
      <c r="D91" s="33"/>
      <c r="E91" s="9"/>
      <c r="F91" s="9"/>
      <c r="G91" s="119" t="s">
        <v>256</v>
      </c>
      <c r="H91" s="81">
        <v>6</v>
      </c>
      <c r="I91" s="150">
        <v>0</v>
      </c>
      <c r="J91" s="150"/>
      <c r="K91" s="144">
        <f t="shared" si="11"/>
        <v>0</v>
      </c>
      <c r="L91" s="144"/>
      <c r="M91" s="144"/>
      <c r="N91" s="4"/>
    </row>
    <row r="92" spans="2:18">
      <c r="B92" s="54" t="s">
        <v>127</v>
      </c>
      <c r="C92" s="46" t="s">
        <v>308</v>
      </c>
      <c r="D92" s="20"/>
      <c r="E92" s="7"/>
      <c r="F92" s="7"/>
      <c r="G92" s="114" t="s">
        <v>15</v>
      </c>
      <c r="H92" s="83">
        <v>6</v>
      </c>
      <c r="I92" s="150">
        <v>0</v>
      </c>
      <c r="J92" s="150"/>
      <c r="K92" s="143">
        <f t="shared" si="11"/>
        <v>0</v>
      </c>
      <c r="L92" s="143"/>
      <c r="M92" s="143"/>
      <c r="N92" s="4"/>
    </row>
    <row r="93" spans="2:18">
      <c r="B93" s="54" t="s">
        <v>128</v>
      </c>
      <c r="C93" s="47" t="s">
        <v>308</v>
      </c>
      <c r="D93" s="33"/>
      <c r="E93" s="9"/>
      <c r="F93" s="9"/>
      <c r="G93" s="119" t="s">
        <v>124</v>
      </c>
      <c r="H93" s="81">
        <v>3.5</v>
      </c>
      <c r="I93" s="150">
        <v>0</v>
      </c>
      <c r="J93" s="150"/>
      <c r="K93" s="144">
        <f t="shared" si="11"/>
        <v>0</v>
      </c>
      <c r="L93" s="144"/>
      <c r="M93" s="144"/>
      <c r="N93" s="4"/>
    </row>
    <row r="94" spans="2:18">
      <c r="B94" s="54" t="s">
        <v>129</v>
      </c>
      <c r="C94" s="46" t="s">
        <v>309</v>
      </c>
      <c r="D94" s="20"/>
      <c r="E94" s="7"/>
      <c r="F94" s="7"/>
      <c r="G94" s="114" t="s">
        <v>15</v>
      </c>
      <c r="H94" s="83">
        <v>6</v>
      </c>
      <c r="I94" s="150">
        <v>0</v>
      </c>
      <c r="J94" s="150"/>
      <c r="K94" s="143">
        <f t="shared" si="11"/>
        <v>0</v>
      </c>
      <c r="L94" s="143"/>
      <c r="M94" s="143"/>
      <c r="N94" s="4"/>
    </row>
    <row r="95" spans="2:18">
      <c r="B95" s="54" t="s">
        <v>130</v>
      </c>
      <c r="C95" s="47" t="s">
        <v>309</v>
      </c>
      <c r="D95" s="33"/>
      <c r="E95" s="9"/>
      <c r="F95" s="9"/>
      <c r="G95" s="119" t="s">
        <v>124</v>
      </c>
      <c r="H95" s="81">
        <v>3.5</v>
      </c>
      <c r="I95" s="150">
        <v>0</v>
      </c>
      <c r="J95" s="150"/>
      <c r="K95" s="144">
        <f t="shared" si="11"/>
        <v>0</v>
      </c>
      <c r="L95" s="144"/>
      <c r="M95" s="144"/>
      <c r="N95" s="4"/>
    </row>
    <row r="96" spans="2:18">
      <c r="B96" s="76"/>
      <c r="C96" s="76"/>
      <c r="D96" s="77"/>
      <c r="E96" s="77"/>
      <c r="F96" s="77"/>
      <c r="G96" s="115"/>
      <c r="H96" s="78"/>
      <c r="I96" s="78"/>
      <c r="J96" s="78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111"/>
      <c r="H97" s="57"/>
      <c r="I97" s="57"/>
      <c r="J97" s="57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277</v>
      </c>
      <c r="D98" s="94"/>
      <c r="E98" s="96" t="s">
        <v>278</v>
      </c>
      <c r="F98" s="96"/>
      <c r="G98" s="112" t="s">
        <v>289</v>
      </c>
      <c r="H98" s="95" t="s">
        <v>279</v>
      </c>
      <c r="I98" s="123" t="s">
        <v>290</v>
      </c>
      <c r="J98" s="124"/>
      <c r="K98" s="96"/>
      <c r="L98" s="96"/>
      <c r="M98" s="96"/>
      <c r="N98" s="19"/>
    </row>
    <row r="99" spans="2:18">
      <c r="B99" s="54" t="s">
        <v>133</v>
      </c>
      <c r="C99" s="65" t="s">
        <v>310</v>
      </c>
      <c r="D99" s="66" t="s">
        <v>1</v>
      </c>
      <c r="E99" s="8" t="s">
        <v>280</v>
      </c>
      <c r="F99" s="9"/>
      <c r="G99" s="119" t="s">
        <v>131</v>
      </c>
      <c r="H99" s="81">
        <v>55</v>
      </c>
      <c r="I99" s="150">
        <v>0</v>
      </c>
      <c r="J99" s="150"/>
      <c r="K99" s="144">
        <f t="shared" ref="K99:K101" si="12">+H99*I99</f>
        <v>0</v>
      </c>
      <c r="L99" s="144"/>
      <c r="M99" s="144"/>
      <c r="N99" s="4"/>
    </row>
    <row r="100" spans="2:18">
      <c r="B100" s="54" t="s">
        <v>134</v>
      </c>
      <c r="C100" s="36" t="s">
        <v>310</v>
      </c>
      <c r="D100" s="7"/>
      <c r="E100" s="22" t="s">
        <v>280</v>
      </c>
      <c r="F100" s="7"/>
      <c r="G100" s="114" t="s">
        <v>132</v>
      </c>
      <c r="H100" s="83">
        <v>37.5</v>
      </c>
      <c r="I100" s="150">
        <v>0</v>
      </c>
      <c r="J100" s="150"/>
      <c r="K100" s="143">
        <f t="shared" si="12"/>
        <v>0</v>
      </c>
      <c r="L100" s="143"/>
      <c r="M100" s="143"/>
      <c r="N100" s="4"/>
    </row>
    <row r="101" spans="2:18">
      <c r="B101" s="54" t="s">
        <v>135</v>
      </c>
      <c r="C101" s="65" t="s">
        <v>310</v>
      </c>
      <c r="D101" s="66" t="s">
        <v>1</v>
      </c>
      <c r="E101" s="8" t="s">
        <v>281</v>
      </c>
      <c r="F101" s="9"/>
      <c r="G101" s="119" t="s">
        <v>40</v>
      </c>
      <c r="H101" s="81">
        <v>9</v>
      </c>
      <c r="I101" s="150">
        <v>0</v>
      </c>
      <c r="J101" s="150"/>
      <c r="K101" s="144">
        <f t="shared" si="12"/>
        <v>0</v>
      </c>
      <c r="L101" s="144"/>
      <c r="M101" s="144"/>
      <c r="N101" s="4"/>
    </row>
    <row r="102" spans="2:18">
      <c r="B102" s="75"/>
      <c r="C102" s="76"/>
      <c r="D102" s="77"/>
      <c r="E102" s="77"/>
      <c r="F102" s="77"/>
      <c r="G102" s="115"/>
      <c r="H102" s="78"/>
      <c r="I102" s="78"/>
      <c r="J102" s="78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45</v>
      </c>
      <c r="D103" s="1"/>
      <c r="E103" s="1"/>
      <c r="F103" s="1"/>
      <c r="G103" s="120"/>
      <c r="H103" s="57"/>
      <c r="I103" s="57"/>
      <c r="J103" s="57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277</v>
      </c>
      <c r="D104" s="94"/>
      <c r="E104" s="96" t="s">
        <v>278</v>
      </c>
      <c r="F104" s="96"/>
      <c r="G104" s="112" t="s">
        <v>289</v>
      </c>
      <c r="H104" s="95" t="s">
        <v>279</v>
      </c>
      <c r="I104" s="123" t="s">
        <v>290</v>
      </c>
      <c r="J104" s="124"/>
      <c r="K104" s="96"/>
      <c r="L104" s="96"/>
      <c r="M104" s="96"/>
      <c r="N104" s="19"/>
    </row>
    <row r="105" spans="2:18">
      <c r="B105" s="54" t="s">
        <v>136</v>
      </c>
      <c r="C105" s="48" t="s">
        <v>310</v>
      </c>
      <c r="E105" s="101" t="s">
        <v>282</v>
      </c>
      <c r="F105" s="10"/>
      <c r="G105" s="118" t="s">
        <v>22</v>
      </c>
      <c r="H105" s="93">
        <v>9</v>
      </c>
      <c r="I105" s="150">
        <v>0</v>
      </c>
      <c r="J105" s="150"/>
      <c r="K105" s="143">
        <f t="shared" ref="K105:K111" si="13">+H105*I105</f>
        <v>0</v>
      </c>
      <c r="L105" s="143"/>
      <c r="M105" s="143"/>
      <c r="N105" s="4"/>
    </row>
    <row r="106" spans="2:18">
      <c r="B106" s="54" t="s">
        <v>137</v>
      </c>
      <c r="C106" s="49" t="s">
        <v>310</v>
      </c>
      <c r="D106" s="31"/>
      <c r="E106" s="102" t="s">
        <v>283</v>
      </c>
      <c r="F106" s="11"/>
      <c r="G106" s="113" t="s">
        <v>22</v>
      </c>
      <c r="H106" s="85">
        <v>9</v>
      </c>
      <c r="I106" s="150">
        <v>0</v>
      </c>
      <c r="J106" s="150"/>
      <c r="K106" s="142">
        <f t="shared" si="13"/>
        <v>0</v>
      </c>
      <c r="L106" s="142"/>
      <c r="M106" s="142"/>
      <c r="N106" s="4"/>
    </row>
    <row r="107" spans="2:18">
      <c r="B107" s="54" t="s">
        <v>138</v>
      </c>
      <c r="C107" s="48" t="s">
        <v>310</v>
      </c>
      <c r="E107" s="103" t="s">
        <v>284</v>
      </c>
      <c r="F107" s="7"/>
      <c r="G107" s="118" t="s">
        <v>22</v>
      </c>
      <c r="H107" s="93">
        <v>9</v>
      </c>
      <c r="I107" s="150">
        <v>0</v>
      </c>
      <c r="J107" s="150"/>
      <c r="K107" s="143">
        <f t="shared" si="13"/>
        <v>0</v>
      </c>
      <c r="L107" s="143"/>
      <c r="M107" s="143"/>
      <c r="N107" s="4"/>
    </row>
    <row r="108" spans="2:18">
      <c r="B108" s="54" t="s">
        <v>139</v>
      </c>
      <c r="C108" s="49" t="s">
        <v>310</v>
      </c>
      <c r="D108" s="31"/>
      <c r="E108" s="102" t="s">
        <v>285</v>
      </c>
      <c r="F108" s="11"/>
      <c r="G108" s="113" t="s">
        <v>22</v>
      </c>
      <c r="H108" s="85">
        <v>9</v>
      </c>
      <c r="I108" s="150">
        <v>0</v>
      </c>
      <c r="J108" s="150"/>
      <c r="K108" s="142">
        <f t="shared" si="13"/>
        <v>0</v>
      </c>
      <c r="L108" s="142"/>
      <c r="M108" s="142"/>
      <c r="N108" s="4"/>
    </row>
    <row r="109" spans="2:18">
      <c r="B109" s="54" t="s">
        <v>140</v>
      </c>
      <c r="C109" s="48" t="s">
        <v>310</v>
      </c>
      <c r="E109" s="103" t="s">
        <v>286</v>
      </c>
      <c r="F109" s="10"/>
      <c r="G109" s="118" t="s">
        <v>22</v>
      </c>
      <c r="H109" s="93">
        <v>9</v>
      </c>
      <c r="I109" s="150">
        <v>0</v>
      </c>
      <c r="J109" s="150"/>
      <c r="K109" s="143">
        <f t="shared" si="13"/>
        <v>0</v>
      </c>
      <c r="L109" s="143"/>
      <c r="M109" s="143"/>
      <c r="N109" s="4"/>
    </row>
    <row r="110" spans="2:18">
      <c r="B110" s="54" t="s">
        <v>141</v>
      </c>
      <c r="C110" s="49" t="s">
        <v>310</v>
      </c>
      <c r="D110" s="31"/>
      <c r="E110" s="102" t="s">
        <v>287</v>
      </c>
      <c r="F110" s="11"/>
      <c r="G110" s="113" t="s">
        <v>22</v>
      </c>
      <c r="H110" s="85">
        <v>9</v>
      </c>
      <c r="I110" s="150">
        <v>0</v>
      </c>
      <c r="J110" s="150"/>
      <c r="K110" s="142">
        <f t="shared" si="13"/>
        <v>0</v>
      </c>
      <c r="L110" s="142"/>
      <c r="M110" s="142"/>
      <c r="N110" s="4"/>
    </row>
    <row r="111" spans="2:18">
      <c r="B111" s="54" t="s">
        <v>142</v>
      </c>
      <c r="C111" s="48" t="s">
        <v>310</v>
      </c>
      <c r="E111" s="103" t="s">
        <v>288</v>
      </c>
      <c r="F111" s="7"/>
      <c r="G111" s="114" t="s">
        <v>22</v>
      </c>
      <c r="H111" s="83">
        <v>9</v>
      </c>
      <c r="I111" s="151">
        <v>0</v>
      </c>
      <c r="J111" s="151"/>
      <c r="K111" s="143">
        <f t="shared" si="13"/>
        <v>0</v>
      </c>
      <c r="L111" s="143"/>
      <c r="M111" s="143"/>
      <c r="N111" s="4"/>
    </row>
    <row r="112" spans="2:18">
      <c r="B112" s="75"/>
      <c r="C112" s="76"/>
      <c r="D112" s="77"/>
      <c r="E112" s="77"/>
      <c r="F112" s="77"/>
      <c r="G112" s="115"/>
      <c r="H112" s="78"/>
      <c r="I112" s="78"/>
      <c r="J112" s="78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144</v>
      </c>
      <c r="D113" s="2"/>
      <c r="E113" s="3"/>
      <c r="F113" s="3"/>
      <c r="G113" s="111"/>
      <c r="H113" s="57"/>
      <c r="I113" s="57"/>
      <c r="J113" s="57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277</v>
      </c>
      <c r="D114" s="94"/>
      <c r="E114" s="96" t="s">
        <v>278</v>
      </c>
      <c r="F114" s="96"/>
      <c r="G114" s="112" t="s">
        <v>289</v>
      </c>
      <c r="H114" s="95" t="s">
        <v>279</v>
      </c>
      <c r="I114" s="123" t="s">
        <v>290</v>
      </c>
      <c r="J114" s="124"/>
      <c r="K114" s="96"/>
      <c r="L114" s="96"/>
      <c r="M114" s="96"/>
      <c r="N114" s="19"/>
    </row>
    <row r="115" spans="2:18">
      <c r="B115" s="54" t="s">
        <v>145</v>
      </c>
      <c r="C115" s="58" t="s">
        <v>312</v>
      </c>
      <c r="D115" s="9"/>
      <c r="E115" s="59"/>
      <c r="F115" s="9"/>
      <c r="G115" s="119" t="s">
        <v>21</v>
      </c>
      <c r="H115" s="81">
        <v>3.5</v>
      </c>
      <c r="I115" s="150">
        <v>0</v>
      </c>
      <c r="J115" s="150"/>
      <c r="K115" s="144">
        <f t="shared" ref="K115:K116" si="14">+H115*I115</f>
        <v>0</v>
      </c>
      <c r="L115" s="144"/>
      <c r="M115" s="144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114" t="s">
        <v>21</v>
      </c>
      <c r="H116" s="83">
        <v>3.5</v>
      </c>
      <c r="I116" s="150">
        <v>0</v>
      </c>
      <c r="J116" s="150"/>
      <c r="K116" s="143">
        <f t="shared" si="14"/>
        <v>0</v>
      </c>
      <c r="L116" s="143"/>
      <c r="M116" s="143"/>
      <c r="N116" s="4"/>
    </row>
    <row r="117" spans="2:18" ht="29.25" customHeight="1">
      <c r="B117" s="76"/>
      <c r="C117" s="76"/>
      <c r="D117" s="77"/>
      <c r="E117" s="77"/>
      <c r="F117" s="77"/>
      <c r="G117" s="115"/>
      <c r="H117" s="78"/>
      <c r="I117" s="78"/>
      <c r="J117" s="78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311</v>
      </c>
      <c r="D118" s="2"/>
      <c r="E118" s="3"/>
      <c r="F118" s="3"/>
      <c r="G118" s="111"/>
      <c r="H118" s="57"/>
      <c r="I118" s="57"/>
      <c r="J118" s="57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277</v>
      </c>
      <c r="D119" s="94"/>
      <c r="E119" s="96" t="s">
        <v>278</v>
      </c>
      <c r="F119" s="96"/>
      <c r="G119" s="112" t="s">
        <v>289</v>
      </c>
      <c r="H119" s="95" t="s">
        <v>279</v>
      </c>
      <c r="I119" s="123" t="s">
        <v>290</v>
      </c>
      <c r="J119" s="124"/>
      <c r="K119" s="96"/>
      <c r="L119" s="96"/>
      <c r="M119" s="96"/>
      <c r="N119" s="19"/>
    </row>
    <row r="120" spans="2:18">
      <c r="B120" s="54" t="s">
        <v>152</v>
      </c>
      <c r="C120" s="40" t="s">
        <v>149</v>
      </c>
      <c r="D120" s="7"/>
      <c r="E120" s="6"/>
      <c r="F120" s="7"/>
      <c r="G120" s="114" t="s">
        <v>151</v>
      </c>
      <c r="H120" s="83">
        <v>3</v>
      </c>
      <c r="I120" s="150">
        <v>0</v>
      </c>
      <c r="J120" s="150"/>
      <c r="K120" s="143">
        <f t="shared" ref="K120:K127" si="15">+H120*I120</f>
        <v>0</v>
      </c>
      <c r="L120" s="143"/>
      <c r="M120" s="143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119" t="s">
        <v>151</v>
      </c>
      <c r="H121" s="81">
        <v>3</v>
      </c>
      <c r="I121" s="150">
        <v>0</v>
      </c>
      <c r="J121" s="150"/>
      <c r="K121" s="142">
        <f t="shared" si="15"/>
        <v>0</v>
      </c>
      <c r="L121" s="142"/>
      <c r="M121" s="142"/>
      <c r="N121" s="4"/>
    </row>
    <row r="122" spans="2:18">
      <c r="B122" s="54" t="s">
        <v>35</v>
      </c>
      <c r="C122" s="40" t="s">
        <v>156</v>
      </c>
      <c r="D122" s="7"/>
      <c r="E122" s="6"/>
      <c r="F122" s="7"/>
      <c r="G122" s="114" t="s">
        <v>21</v>
      </c>
      <c r="H122" s="83">
        <v>3</v>
      </c>
      <c r="I122" s="150">
        <v>0</v>
      </c>
      <c r="J122" s="150"/>
      <c r="K122" s="143">
        <f t="shared" si="15"/>
        <v>0</v>
      </c>
      <c r="L122" s="143"/>
      <c r="M122" s="143"/>
      <c r="N122" s="4"/>
    </row>
    <row r="123" spans="2:18">
      <c r="B123" s="54" t="s">
        <v>36</v>
      </c>
      <c r="C123" s="58" t="s">
        <v>389</v>
      </c>
      <c r="D123" s="9"/>
      <c r="E123" s="8"/>
      <c r="F123" s="9"/>
      <c r="G123" s="119" t="s">
        <v>21</v>
      </c>
      <c r="H123" s="81">
        <v>3</v>
      </c>
      <c r="I123" s="150">
        <v>0</v>
      </c>
      <c r="J123" s="150"/>
      <c r="K123" s="142">
        <f t="shared" si="15"/>
        <v>0</v>
      </c>
      <c r="L123" s="142"/>
      <c r="M123" s="142"/>
      <c r="N123" s="4"/>
    </row>
    <row r="124" spans="2:18">
      <c r="B124" s="54" t="s">
        <v>37</v>
      </c>
      <c r="C124" s="40" t="s">
        <v>313</v>
      </c>
      <c r="D124" s="7"/>
      <c r="E124" s="6"/>
      <c r="F124" s="7"/>
      <c r="G124" s="114" t="s">
        <v>21</v>
      </c>
      <c r="H124" s="83">
        <v>3</v>
      </c>
      <c r="I124" s="150">
        <v>0</v>
      </c>
      <c r="J124" s="150"/>
      <c r="K124" s="143">
        <f t="shared" si="15"/>
        <v>0</v>
      </c>
      <c r="L124" s="143"/>
      <c r="M124" s="143"/>
      <c r="N124" s="4"/>
    </row>
    <row r="125" spans="2:18">
      <c r="B125" s="54" t="s">
        <v>38</v>
      </c>
      <c r="C125" s="58" t="s">
        <v>159</v>
      </c>
      <c r="D125" s="9"/>
      <c r="E125" s="8"/>
      <c r="F125" s="9"/>
      <c r="G125" s="119" t="s">
        <v>21</v>
      </c>
      <c r="H125" s="81">
        <v>3</v>
      </c>
      <c r="I125" s="150">
        <v>0</v>
      </c>
      <c r="J125" s="150"/>
      <c r="K125" s="142">
        <f t="shared" si="15"/>
        <v>0</v>
      </c>
      <c r="L125" s="142"/>
      <c r="M125" s="142"/>
      <c r="N125" s="4"/>
    </row>
    <row r="126" spans="2:18">
      <c r="B126" s="54" t="s">
        <v>154</v>
      </c>
      <c r="C126" s="40" t="s">
        <v>314</v>
      </c>
      <c r="D126" s="7"/>
      <c r="E126" s="6"/>
      <c r="F126" s="7"/>
      <c r="G126" s="114" t="s">
        <v>21</v>
      </c>
      <c r="H126" s="83">
        <v>3</v>
      </c>
      <c r="I126" s="150">
        <v>0</v>
      </c>
      <c r="J126" s="150"/>
      <c r="K126" s="143">
        <f t="shared" si="15"/>
        <v>0</v>
      </c>
      <c r="L126" s="143"/>
      <c r="M126" s="143"/>
      <c r="N126" s="4"/>
    </row>
    <row r="127" spans="2:18">
      <c r="B127" s="54" t="s">
        <v>155</v>
      </c>
      <c r="C127" s="58" t="s">
        <v>315</v>
      </c>
      <c r="D127" s="9"/>
      <c r="E127" s="8"/>
      <c r="F127" s="9"/>
      <c r="G127" s="119" t="s">
        <v>21</v>
      </c>
      <c r="H127" s="81">
        <v>3</v>
      </c>
      <c r="I127" s="150">
        <v>0</v>
      </c>
      <c r="J127" s="150"/>
      <c r="K127" s="142">
        <f t="shared" si="15"/>
        <v>0</v>
      </c>
      <c r="L127" s="142"/>
      <c r="M127" s="142"/>
      <c r="N127" s="4"/>
    </row>
    <row r="128" spans="2:18">
      <c r="B128" s="75"/>
      <c r="C128" s="76"/>
      <c r="D128" s="77"/>
      <c r="E128" s="77"/>
      <c r="F128" s="77"/>
      <c r="G128" s="115"/>
      <c r="H128" s="78"/>
      <c r="I128" s="78"/>
      <c r="J128" s="78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321</v>
      </c>
      <c r="D129" s="2"/>
      <c r="E129" s="3"/>
      <c r="F129" s="3"/>
      <c r="G129" s="111"/>
      <c r="H129" s="57"/>
      <c r="I129" s="57"/>
      <c r="J129" s="57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277</v>
      </c>
      <c r="D130" s="94"/>
      <c r="E130" s="96" t="s">
        <v>278</v>
      </c>
      <c r="F130" s="96"/>
      <c r="G130" s="112" t="s">
        <v>289</v>
      </c>
      <c r="H130" s="95" t="s">
        <v>279</v>
      </c>
      <c r="I130" s="123" t="s">
        <v>290</v>
      </c>
      <c r="J130" s="124"/>
      <c r="K130" s="96"/>
      <c r="L130" s="96"/>
      <c r="M130" s="96"/>
      <c r="N130" s="19"/>
    </row>
    <row r="131" spans="2:18">
      <c r="B131" s="54" t="s">
        <v>162</v>
      </c>
      <c r="C131" s="58" t="s">
        <v>316</v>
      </c>
      <c r="D131" s="9"/>
      <c r="E131" s="8"/>
      <c r="F131" s="9"/>
      <c r="G131" s="119"/>
      <c r="H131" s="81">
        <v>5</v>
      </c>
      <c r="I131" s="150">
        <v>0</v>
      </c>
      <c r="J131" s="150"/>
      <c r="K131" s="144">
        <f t="shared" ref="K131:K135" si="16">+H131*I131</f>
        <v>0</v>
      </c>
      <c r="L131" s="144"/>
      <c r="M131" s="144"/>
      <c r="N131" s="4"/>
    </row>
    <row r="132" spans="2:18">
      <c r="B132" s="54" t="s">
        <v>163</v>
      </c>
      <c r="C132" s="40" t="s">
        <v>317</v>
      </c>
      <c r="D132" s="7"/>
      <c r="E132" s="22"/>
      <c r="F132" s="7"/>
      <c r="G132" s="114"/>
      <c r="H132" s="83">
        <v>6</v>
      </c>
      <c r="I132" s="150">
        <v>0</v>
      </c>
      <c r="J132" s="150"/>
      <c r="K132" s="143">
        <f t="shared" si="16"/>
        <v>0</v>
      </c>
      <c r="L132" s="143"/>
      <c r="M132" s="143"/>
      <c r="N132" s="4"/>
    </row>
    <row r="133" spans="2:18">
      <c r="B133" s="54" t="s">
        <v>164</v>
      </c>
      <c r="C133" s="58" t="s">
        <v>318</v>
      </c>
      <c r="D133" s="9"/>
      <c r="E133" s="59"/>
      <c r="F133" s="9"/>
      <c r="G133" s="119"/>
      <c r="H133" s="81">
        <v>4</v>
      </c>
      <c r="I133" s="150">
        <v>0</v>
      </c>
      <c r="J133" s="150"/>
      <c r="K133" s="144">
        <f t="shared" si="16"/>
        <v>0</v>
      </c>
      <c r="L133" s="144"/>
      <c r="M133" s="144"/>
      <c r="N133" s="4"/>
    </row>
    <row r="134" spans="2:18">
      <c r="B134" s="54" t="s">
        <v>165</v>
      </c>
      <c r="C134" s="40" t="s">
        <v>319</v>
      </c>
      <c r="D134" s="7"/>
      <c r="E134" s="22"/>
      <c r="F134" s="7"/>
      <c r="G134" s="114"/>
      <c r="H134" s="83">
        <v>3</v>
      </c>
      <c r="I134" s="150">
        <v>0</v>
      </c>
      <c r="J134" s="150"/>
      <c r="K134" s="143">
        <f t="shared" si="16"/>
        <v>0</v>
      </c>
      <c r="L134" s="143"/>
      <c r="M134" s="143"/>
      <c r="N134" s="4"/>
    </row>
    <row r="135" spans="2:18">
      <c r="B135" s="54" t="s">
        <v>166</v>
      </c>
      <c r="C135" s="58" t="s">
        <v>320</v>
      </c>
      <c r="D135" s="9"/>
      <c r="E135" s="59"/>
      <c r="F135" s="9"/>
      <c r="G135" s="119"/>
      <c r="H135" s="81">
        <v>3</v>
      </c>
      <c r="I135" s="150">
        <v>0</v>
      </c>
      <c r="J135" s="150"/>
      <c r="K135" s="144">
        <f t="shared" si="16"/>
        <v>0</v>
      </c>
      <c r="L135" s="144"/>
      <c r="M135" s="144"/>
      <c r="N135" s="4"/>
    </row>
    <row r="136" spans="2:18">
      <c r="B136" s="76"/>
      <c r="C136" s="76"/>
      <c r="D136" s="77"/>
      <c r="E136" s="77"/>
      <c r="F136" s="77"/>
      <c r="G136" s="115"/>
      <c r="H136" s="78"/>
      <c r="I136" s="78"/>
      <c r="J136" s="78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332</v>
      </c>
      <c r="D137" s="2"/>
      <c r="E137" s="3"/>
      <c r="F137" s="3"/>
      <c r="G137" s="111"/>
      <c r="H137" s="57"/>
      <c r="I137" s="57"/>
      <c r="J137" s="57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277</v>
      </c>
      <c r="D138" s="94"/>
      <c r="E138" s="96" t="s">
        <v>278</v>
      </c>
      <c r="F138" s="96"/>
      <c r="G138" s="112" t="s">
        <v>289</v>
      </c>
      <c r="H138" s="95" t="s">
        <v>279</v>
      </c>
      <c r="I138" s="123" t="s">
        <v>290</v>
      </c>
      <c r="J138" s="124"/>
      <c r="K138" s="96"/>
      <c r="L138" s="96"/>
      <c r="M138" s="96"/>
      <c r="N138" s="19"/>
    </row>
    <row r="139" spans="2:18">
      <c r="B139" s="54" t="s">
        <v>174</v>
      </c>
      <c r="C139" s="58" t="s">
        <v>331</v>
      </c>
      <c r="D139" s="9"/>
      <c r="E139" s="99" t="s">
        <v>270</v>
      </c>
      <c r="F139" s="9"/>
      <c r="G139" s="119"/>
      <c r="H139" s="81">
        <v>4</v>
      </c>
      <c r="I139" s="150">
        <v>0</v>
      </c>
      <c r="J139" s="150"/>
      <c r="K139" s="144">
        <f t="shared" ref="K139:K141" si="17">+H139*I139</f>
        <v>0</v>
      </c>
      <c r="L139" s="144"/>
      <c r="M139" s="144"/>
      <c r="N139" s="4"/>
    </row>
    <row r="140" spans="2:18">
      <c r="B140" s="54" t="s">
        <v>175</v>
      </c>
      <c r="C140" s="40" t="s">
        <v>330</v>
      </c>
      <c r="D140" s="7"/>
      <c r="E140" s="100" t="s">
        <v>270</v>
      </c>
      <c r="F140" s="7"/>
      <c r="G140" s="114"/>
      <c r="H140" s="83">
        <v>4</v>
      </c>
      <c r="I140" s="150">
        <v>0</v>
      </c>
      <c r="J140" s="150"/>
      <c r="K140" s="143">
        <f t="shared" si="17"/>
        <v>0</v>
      </c>
      <c r="L140" s="143"/>
      <c r="M140" s="143"/>
      <c r="N140" s="4"/>
    </row>
    <row r="141" spans="2:18">
      <c r="B141" s="54" t="s">
        <v>176</v>
      </c>
      <c r="C141" s="58" t="s">
        <v>329</v>
      </c>
      <c r="D141" s="9"/>
      <c r="E141" s="99" t="s">
        <v>269</v>
      </c>
      <c r="F141" s="9"/>
      <c r="G141" s="119"/>
      <c r="H141" s="81">
        <v>4</v>
      </c>
      <c r="I141" s="150">
        <v>0</v>
      </c>
      <c r="J141" s="150"/>
      <c r="K141" s="144">
        <f t="shared" si="17"/>
        <v>0</v>
      </c>
      <c r="L141" s="144"/>
      <c r="M141" s="144"/>
      <c r="N141" s="4"/>
    </row>
    <row r="142" spans="2:18">
      <c r="B142" s="76"/>
      <c r="C142" s="76"/>
      <c r="D142" s="77"/>
      <c r="E142" s="77"/>
      <c r="F142" s="77"/>
      <c r="G142" s="115"/>
      <c r="H142" s="78"/>
      <c r="I142" s="78"/>
      <c r="J142" s="78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333</v>
      </c>
      <c r="D143" s="2"/>
      <c r="E143" s="3"/>
      <c r="F143" s="3"/>
      <c r="G143" s="111"/>
      <c r="H143" s="57"/>
      <c r="I143" s="57"/>
      <c r="J143" s="57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277</v>
      </c>
      <c r="D144" s="94"/>
      <c r="E144" s="96" t="s">
        <v>278</v>
      </c>
      <c r="F144" s="96"/>
      <c r="G144" s="112" t="s">
        <v>289</v>
      </c>
      <c r="H144" s="95" t="s">
        <v>279</v>
      </c>
      <c r="I144" s="123" t="s">
        <v>290</v>
      </c>
      <c r="J144" s="126"/>
      <c r="K144" s="19"/>
      <c r="L144" s="19"/>
      <c r="M144" s="19"/>
      <c r="N144" s="19"/>
    </row>
    <row r="145" spans="2:18">
      <c r="B145" s="54" t="s">
        <v>182</v>
      </c>
      <c r="C145" s="58" t="s">
        <v>181</v>
      </c>
      <c r="D145" s="35"/>
      <c r="E145" s="99" t="s">
        <v>274</v>
      </c>
      <c r="F145" s="9"/>
      <c r="G145" s="119"/>
      <c r="H145" s="81">
        <v>12</v>
      </c>
      <c r="I145" s="150">
        <v>0</v>
      </c>
      <c r="J145" s="150"/>
      <c r="K145" s="144">
        <f t="shared" ref="K145:K146" si="18">+H145*I145</f>
        <v>0</v>
      </c>
      <c r="L145" s="144"/>
      <c r="M145" s="144"/>
      <c r="N145" s="4"/>
    </row>
    <row r="146" spans="2:18">
      <c r="B146" s="54" t="s">
        <v>183</v>
      </c>
      <c r="C146" s="40" t="s">
        <v>184</v>
      </c>
      <c r="D146" s="60"/>
      <c r="E146" s="100" t="s">
        <v>275</v>
      </c>
      <c r="F146" s="7"/>
      <c r="G146" s="114"/>
      <c r="H146" s="83">
        <v>15</v>
      </c>
      <c r="I146" s="150">
        <v>0</v>
      </c>
      <c r="J146" s="150"/>
      <c r="K146" s="143">
        <f t="shared" si="18"/>
        <v>0</v>
      </c>
      <c r="L146" s="143"/>
      <c r="M146" s="143"/>
      <c r="N146" s="4"/>
    </row>
    <row r="147" spans="2:18">
      <c r="B147" s="76"/>
      <c r="C147" s="79"/>
      <c r="D147" s="77"/>
      <c r="E147" s="77"/>
      <c r="F147" s="77"/>
      <c r="G147" s="115"/>
      <c r="H147" s="78"/>
      <c r="I147" s="78"/>
      <c r="J147" s="78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334</v>
      </c>
      <c r="D148" s="2"/>
      <c r="E148" s="3"/>
      <c r="F148" s="3"/>
      <c r="G148" s="111"/>
      <c r="H148" s="57"/>
      <c r="I148" s="125"/>
      <c r="J148" s="126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277</v>
      </c>
      <c r="D149" s="94"/>
      <c r="E149" s="96" t="s">
        <v>278</v>
      </c>
      <c r="F149" s="96"/>
      <c r="G149" s="112" t="s">
        <v>289</v>
      </c>
      <c r="H149" s="95" t="s">
        <v>279</v>
      </c>
      <c r="I149" s="123" t="s">
        <v>290</v>
      </c>
      <c r="J149" s="126"/>
      <c r="K149" s="19"/>
      <c r="L149" s="19"/>
      <c r="M149" s="19"/>
      <c r="N149" s="19"/>
    </row>
    <row r="150" spans="2:18">
      <c r="B150" s="54" t="s">
        <v>189</v>
      </c>
      <c r="C150" s="58" t="s">
        <v>335</v>
      </c>
      <c r="D150" s="35"/>
      <c r="E150" s="99" t="s">
        <v>266</v>
      </c>
      <c r="F150" s="9"/>
      <c r="G150" s="119"/>
      <c r="H150" s="81">
        <v>3</v>
      </c>
      <c r="I150" s="150">
        <v>0</v>
      </c>
      <c r="J150" s="150"/>
      <c r="K150" s="144">
        <f t="shared" ref="K150:K152" si="19">+H150*I150</f>
        <v>0</v>
      </c>
      <c r="L150" s="144"/>
      <c r="M150" s="144"/>
      <c r="N150" s="4"/>
    </row>
    <row r="151" spans="2:18">
      <c r="B151" s="54" t="s">
        <v>190</v>
      </c>
      <c r="C151" s="40" t="s">
        <v>336</v>
      </c>
      <c r="D151" s="60"/>
      <c r="E151" s="100" t="s">
        <v>266</v>
      </c>
      <c r="F151" s="7"/>
      <c r="G151" s="114"/>
      <c r="H151" s="83">
        <v>3</v>
      </c>
      <c r="I151" s="150">
        <v>0</v>
      </c>
      <c r="J151" s="150"/>
      <c r="K151" s="143">
        <f t="shared" si="19"/>
        <v>0</v>
      </c>
      <c r="L151" s="143"/>
      <c r="M151" s="143"/>
      <c r="N151" s="4"/>
    </row>
    <row r="152" spans="2:18">
      <c r="B152" s="54" t="s">
        <v>191</v>
      </c>
      <c r="C152" s="58" t="s">
        <v>337</v>
      </c>
      <c r="D152" s="35"/>
      <c r="E152" s="99" t="s">
        <v>266</v>
      </c>
      <c r="F152" s="9"/>
      <c r="G152" s="119"/>
      <c r="H152" s="81">
        <v>3</v>
      </c>
      <c r="I152" s="150">
        <v>0</v>
      </c>
      <c r="J152" s="150"/>
      <c r="K152" s="144">
        <f t="shared" si="19"/>
        <v>0</v>
      </c>
      <c r="L152" s="144"/>
      <c r="M152" s="144"/>
      <c r="N152" s="4"/>
    </row>
    <row r="153" spans="2:18">
      <c r="B153" s="76"/>
      <c r="C153" s="76"/>
      <c r="D153" s="77"/>
      <c r="E153" s="77"/>
      <c r="F153" s="77"/>
      <c r="G153" s="115"/>
      <c r="H153" s="78"/>
      <c r="I153" s="78"/>
      <c r="J153" s="78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322</v>
      </c>
      <c r="D154" s="2"/>
      <c r="E154" s="3"/>
      <c r="F154" s="3"/>
      <c r="G154" s="111"/>
      <c r="H154" s="57"/>
      <c r="I154" s="57"/>
      <c r="J154" s="57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277</v>
      </c>
      <c r="D155" s="94"/>
      <c r="E155" s="96" t="s">
        <v>278</v>
      </c>
      <c r="F155" s="96"/>
      <c r="G155" s="112" t="s">
        <v>289</v>
      </c>
      <c r="H155" s="95" t="s">
        <v>279</v>
      </c>
      <c r="I155" s="123" t="s">
        <v>290</v>
      </c>
      <c r="J155" s="126"/>
      <c r="K155" s="19"/>
      <c r="L155" s="19"/>
      <c r="M155" s="19"/>
      <c r="N155" s="19"/>
    </row>
    <row r="156" spans="2:18">
      <c r="B156" s="54" t="s">
        <v>193</v>
      </c>
      <c r="C156" s="50" t="s">
        <v>338</v>
      </c>
      <c r="D156" s="35"/>
      <c r="E156" s="99" t="s">
        <v>340</v>
      </c>
      <c r="F156" s="9"/>
      <c r="G156" s="119"/>
      <c r="H156" s="81">
        <v>15</v>
      </c>
      <c r="I156" s="150">
        <v>0</v>
      </c>
      <c r="J156" s="150"/>
      <c r="K156" s="144">
        <f t="shared" ref="K156:K157" si="20">+H156*I156</f>
        <v>0</v>
      </c>
      <c r="L156" s="144"/>
      <c r="M156" s="144"/>
      <c r="N156" s="4"/>
    </row>
    <row r="157" spans="2:18">
      <c r="B157" s="54" t="s">
        <v>194</v>
      </c>
      <c r="C157" s="42" t="s">
        <v>339</v>
      </c>
      <c r="D157" s="60"/>
      <c r="E157" s="100" t="s">
        <v>340</v>
      </c>
      <c r="F157" s="7"/>
      <c r="G157" s="114"/>
      <c r="H157" s="83">
        <v>15</v>
      </c>
      <c r="I157" s="150">
        <v>0</v>
      </c>
      <c r="J157" s="150"/>
      <c r="K157" s="143">
        <f t="shared" si="20"/>
        <v>0</v>
      </c>
      <c r="L157" s="143"/>
      <c r="M157" s="143"/>
      <c r="N157" s="4"/>
    </row>
    <row r="158" spans="2:18">
      <c r="B158" s="76"/>
      <c r="C158" s="76"/>
      <c r="D158" s="77"/>
      <c r="E158" s="77"/>
      <c r="F158" s="77"/>
      <c r="G158" s="115"/>
      <c r="H158" s="78"/>
      <c r="I158" s="78"/>
      <c r="J158" s="78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323</v>
      </c>
      <c r="D159" s="2"/>
      <c r="E159" s="3"/>
      <c r="F159" s="3"/>
      <c r="G159" s="111"/>
      <c r="H159" s="57"/>
      <c r="I159" s="57"/>
      <c r="J159" s="57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277</v>
      </c>
      <c r="D160" s="94"/>
      <c r="E160" s="96" t="s">
        <v>278</v>
      </c>
      <c r="F160" s="96"/>
      <c r="G160" s="112" t="s">
        <v>289</v>
      </c>
      <c r="H160" s="95" t="s">
        <v>279</v>
      </c>
      <c r="I160" s="123" t="s">
        <v>290</v>
      </c>
      <c r="J160" s="126"/>
      <c r="K160" s="19"/>
      <c r="L160" s="19"/>
      <c r="M160" s="19"/>
      <c r="N160" s="19"/>
    </row>
    <row r="161" spans="2:18">
      <c r="B161" s="54" t="s">
        <v>199</v>
      </c>
      <c r="C161" s="50" t="s">
        <v>341</v>
      </c>
      <c r="D161" s="35"/>
      <c r="E161" s="8"/>
      <c r="F161" s="9"/>
      <c r="G161" s="119"/>
      <c r="H161" s="81">
        <v>5</v>
      </c>
      <c r="I161" s="150">
        <v>0</v>
      </c>
      <c r="J161" s="150"/>
      <c r="K161" s="144">
        <f t="shared" ref="K161:K162" si="21">+H161*I161</f>
        <v>0</v>
      </c>
      <c r="L161" s="144"/>
      <c r="M161" s="144"/>
      <c r="N161" s="4"/>
    </row>
    <row r="162" spans="2:18">
      <c r="B162" s="54" t="s">
        <v>200</v>
      </c>
      <c r="C162" s="42" t="s">
        <v>342</v>
      </c>
      <c r="D162" s="60"/>
      <c r="E162" s="22"/>
      <c r="F162" s="7"/>
      <c r="G162" s="114"/>
      <c r="H162" s="83">
        <v>5</v>
      </c>
      <c r="I162" s="150">
        <v>0</v>
      </c>
      <c r="J162" s="150"/>
      <c r="K162" s="143">
        <f t="shared" si="21"/>
        <v>0</v>
      </c>
      <c r="L162" s="143"/>
      <c r="M162" s="143"/>
      <c r="N162" s="4"/>
    </row>
    <row r="163" spans="2:18">
      <c r="B163" s="76"/>
      <c r="C163" s="76"/>
      <c r="D163" s="77"/>
      <c r="E163" s="77"/>
      <c r="F163" s="77"/>
      <c r="G163" s="115"/>
      <c r="H163" s="78"/>
      <c r="I163" s="78"/>
      <c r="J163" s="78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324</v>
      </c>
      <c r="D164" s="2"/>
      <c r="E164" s="3"/>
      <c r="F164" s="3"/>
      <c r="G164" s="111"/>
      <c r="H164" s="57"/>
      <c r="I164" s="57"/>
      <c r="J164" s="57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277</v>
      </c>
      <c r="D165" s="94"/>
      <c r="E165" s="96" t="s">
        <v>278</v>
      </c>
      <c r="F165" s="96"/>
      <c r="G165" s="112" t="s">
        <v>289</v>
      </c>
      <c r="H165" s="95" t="s">
        <v>279</v>
      </c>
      <c r="I165" s="123" t="s">
        <v>290</v>
      </c>
      <c r="J165" s="126"/>
      <c r="K165" s="19"/>
      <c r="L165" s="19"/>
      <c r="M165" s="19"/>
      <c r="N165" s="19"/>
    </row>
    <row r="166" spans="2:18">
      <c r="B166" s="54" t="s">
        <v>204</v>
      </c>
      <c r="C166" s="50" t="s">
        <v>343</v>
      </c>
      <c r="D166" s="35"/>
      <c r="E166" s="8" t="s">
        <v>264</v>
      </c>
      <c r="F166" s="9"/>
      <c r="G166" s="119"/>
      <c r="H166" s="81">
        <v>50</v>
      </c>
      <c r="I166" s="150">
        <v>0</v>
      </c>
      <c r="J166" s="150"/>
      <c r="K166" s="142">
        <f t="shared" ref="K166:K167" si="22">+H166*I166</f>
        <v>0</v>
      </c>
      <c r="L166" s="142"/>
      <c r="M166" s="142"/>
      <c r="N166" s="4"/>
    </row>
    <row r="167" spans="2:18">
      <c r="B167" s="54" t="s">
        <v>205</v>
      </c>
      <c r="C167" s="42" t="s">
        <v>344</v>
      </c>
      <c r="D167" s="60"/>
      <c r="E167" s="22" t="s">
        <v>265</v>
      </c>
      <c r="F167" s="7"/>
      <c r="G167" s="114"/>
      <c r="H167" s="83">
        <v>40</v>
      </c>
      <c r="I167" s="150">
        <v>0</v>
      </c>
      <c r="J167" s="150"/>
      <c r="K167" s="143">
        <f t="shared" si="22"/>
        <v>0</v>
      </c>
      <c r="L167" s="143"/>
      <c r="M167" s="143"/>
      <c r="N167" s="4"/>
    </row>
    <row r="168" spans="2:18">
      <c r="B168" s="76"/>
      <c r="C168" s="76"/>
      <c r="D168" s="77"/>
      <c r="E168" s="77"/>
      <c r="F168" s="77"/>
      <c r="G168" s="115"/>
      <c r="H168" s="78"/>
      <c r="I168" s="78"/>
      <c r="J168" s="78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325</v>
      </c>
      <c r="D169" s="2"/>
      <c r="E169" s="3"/>
      <c r="F169" s="3"/>
      <c r="G169" s="111"/>
      <c r="H169" s="57"/>
      <c r="I169" s="57"/>
      <c r="J169" s="57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277</v>
      </c>
      <c r="D170" s="94"/>
      <c r="E170" s="96" t="s">
        <v>278</v>
      </c>
      <c r="F170" s="96"/>
      <c r="G170" s="112" t="s">
        <v>289</v>
      </c>
      <c r="H170" s="95" t="s">
        <v>279</v>
      </c>
      <c r="I170" s="123" t="s">
        <v>290</v>
      </c>
      <c r="J170" s="126"/>
      <c r="K170" s="19"/>
      <c r="L170" s="19"/>
      <c r="M170" s="19"/>
      <c r="N170" s="19"/>
    </row>
    <row r="171" spans="2:18">
      <c r="B171" s="54" t="s">
        <v>206</v>
      </c>
      <c r="C171" s="50" t="s">
        <v>345</v>
      </c>
      <c r="D171" s="35"/>
      <c r="E171" s="8" t="s">
        <v>267</v>
      </c>
      <c r="F171" s="9"/>
      <c r="G171" s="119"/>
      <c r="H171" s="81">
        <v>15</v>
      </c>
      <c r="I171" s="150">
        <v>0</v>
      </c>
      <c r="J171" s="150"/>
      <c r="K171" s="144">
        <f t="shared" ref="K171:K173" si="23">+H171*I171</f>
        <v>0</v>
      </c>
      <c r="L171" s="144"/>
      <c r="M171" s="144"/>
      <c r="N171" s="4"/>
    </row>
    <row r="172" spans="2:18">
      <c r="B172" s="54" t="s">
        <v>207</v>
      </c>
      <c r="C172" s="42" t="s">
        <v>331</v>
      </c>
      <c r="D172" s="60"/>
      <c r="E172" s="22" t="s">
        <v>267</v>
      </c>
      <c r="F172" s="7"/>
      <c r="G172" s="114"/>
      <c r="H172" s="83">
        <v>15</v>
      </c>
      <c r="I172" s="150">
        <v>0</v>
      </c>
      <c r="J172" s="150"/>
      <c r="K172" s="143">
        <f t="shared" si="23"/>
        <v>0</v>
      </c>
      <c r="L172" s="143"/>
      <c r="M172" s="143"/>
      <c r="N172" s="4"/>
    </row>
    <row r="173" spans="2:18">
      <c r="B173" s="54" t="s">
        <v>208</v>
      </c>
      <c r="C173" s="50" t="s">
        <v>346</v>
      </c>
      <c r="D173" s="35"/>
      <c r="E173" s="8" t="s">
        <v>267</v>
      </c>
      <c r="F173" s="9"/>
      <c r="G173" s="119"/>
      <c r="H173" s="81">
        <v>15</v>
      </c>
      <c r="I173" s="150">
        <v>0</v>
      </c>
      <c r="J173" s="150"/>
      <c r="K173" s="144">
        <f t="shared" si="23"/>
        <v>0</v>
      </c>
      <c r="L173" s="144"/>
      <c r="M173" s="144"/>
      <c r="N173" s="4"/>
    </row>
    <row r="174" spans="2:18">
      <c r="B174" s="75"/>
      <c r="C174" s="76"/>
      <c r="D174" s="77"/>
      <c r="E174" s="77"/>
      <c r="F174" s="77"/>
      <c r="G174" s="115"/>
      <c r="H174" s="78"/>
      <c r="I174" s="78"/>
      <c r="J174" s="78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326</v>
      </c>
      <c r="D175" s="2"/>
      <c r="E175" s="3"/>
      <c r="F175" s="3"/>
      <c r="G175" s="111"/>
      <c r="H175" s="57"/>
      <c r="I175" s="57"/>
      <c r="J175" s="57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277</v>
      </c>
      <c r="D176" s="94"/>
      <c r="E176" s="96" t="s">
        <v>278</v>
      </c>
      <c r="F176" s="96"/>
      <c r="G176" s="112" t="s">
        <v>289</v>
      </c>
      <c r="H176" s="95" t="s">
        <v>279</v>
      </c>
      <c r="I176" s="123" t="s">
        <v>290</v>
      </c>
      <c r="J176" s="126"/>
      <c r="K176" s="19"/>
      <c r="L176" s="19"/>
      <c r="M176" s="19"/>
      <c r="N176" s="19"/>
    </row>
    <row r="177" spans="2:18">
      <c r="B177" s="54" t="s">
        <v>212</v>
      </c>
      <c r="C177" s="50" t="s">
        <v>345</v>
      </c>
      <c r="D177" s="35"/>
      <c r="E177" s="8" t="s">
        <v>268</v>
      </c>
      <c r="F177" s="9"/>
      <c r="G177" s="119"/>
      <c r="H177" s="81">
        <v>15</v>
      </c>
      <c r="I177" s="150">
        <v>0</v>
      </c>
      <c r="J177" s="150"/>
      <c r="K177" s="144">
        <f t="shared" ref="K177:K179" si="24">+H177*I177</f>
        <v>0</v>
      </c>
      <c r="L177" s="144"/>
      <c r="M177" s="144"/>
      <c r="N177" s="4"/>
    </row>
    <row r="178" spans="2:18">
      <c r="B178" s="54" t="s">
        <v>213</v>
      </c>
      <c r="C178" s="42" t="s">
        <v>331</v>
      </c>
      <c r="D178" s="60"/>
      <c r="E178" s="22" t="s">
        <v>268</v>
      </c>
      <c r="F178" s="7"/>
      <c r="G178" s="114"/>
      <c r="H178" s="83">
        <v>15</v>
      </c>
      <c r="I178" s="150">
        <v>0</v>
      </c>
      <c r="J178" s="150"/>
      <c r="K178" s="143">
        <f t="shared" si="24"/>
        <v>0</v>
      </c>
      <c r="L178" s="143"/>
      <c r="M178" s="143"/>
      <c r="N178" s="4"/>
    </row>
    <row r="179" spans="2:18">
      <c r="B179" s="54" t="s">
        <v>214</v>
      </c>
      <c r="C179" s="50" t="s">
        <v>346</v>
      </c>
      <c r="D179" s="35"/>
      <c r="E179" s="8" t="s">
        <v>268</v>
      </c>
      <c r="F179" s="9"/>
      <c r="G179" s="119"/>
      <c r="H179" s="81">
        <v>15</v>
      </c>
      <c r="I179" s="150">
        <v>0</v>
      </c>
      <c r="J179" s="150"/>
      <c r="K179" s="144">
        <f t="shared" si="24"/>
        <v>0</v>
      </c>
      <c r="L179" s="144"/>
      <c r="M179" s="144"/>
      <c r="N179" s="4"/>
    </row>
    <row r="180" spans="2:18">
      <c r="B180" s="76"/>
      <c r="C180" s="76"/>
      <c r="D180" s="77"/>
      <c r="E180" s="77"/>
      <c r="F180" s="77"/>
      <c r="G180" s="115"/>
      <c r="H180" s="78"/>
      <c r="I180" s="78"/>
      <c r="J180" s="78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327</v>
      </c>
      <c r="D181" s="2"/>
      <c r="E181" s="3"/>
      <c r="F181" s="3"/>
      <c r="G181" s="111"/>
      <c r="H181" s="57"/>
      <c r="I181" s="57"/>
      <c r="J181" s="57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277</v>
      </c>
      <c r="D182" s="94"/>
      <c r="E182" s="96" t="s">
        <v>278</v>
      </c>
      <c r="F182" s="96"/>
      <c r="G182" s="112" t="s">
        <v>289</v>
      </c>
      <c r="H182" s="95" t="s">
        <v>279</v>
      </c>
      <c r="I182" s="123" t="s">
        <v>290</v>
      </c>
      <c r="J182" s="126"/>
      <c r="K182" s="19"/>
      <c r="L182" s="19"/>
      <c r="M182" s="19"/>
      <c r="N182" s="19"/>
    </row>
    <row r="183" spans="2:18">
      <c r="B183" s="54" t="s">
        <v>215</v>
      </c>
      <c r="C183" s="50" t="s">
        <v>347</v>
      </c>
      <c r="D183" s="35"/>
      <c r="E183" s="8" t="s">
        <v>271</v>
      </c>
      <c r="F183" s="9"/>
      <c r="G183" s="119"/>
      <c r="H183" s="81">
        <v>3</v>
      </c>
      <c r="I183" s="150">
        <v>0</v>
      </c>
      <c r="J183" s="150"/>
      <c r="K183" s="144">
        <f t="shared" ref="K183:K184" si="25">+H183*I183</f>
        <v>0</v>
      </c>
      <c r="L183" s="144"/>
      <c r="M183" s="144"/>
      <c r="N183" s="4"/>
    </row>
    <row r="184" spans="2:18">
      <c r="B184" s="54" t="s">
        <v>216</v>
      </c>
      <c r="C184" s="42" t="s">
        <v>348</v>
      </c>
      <c r="D184" s="60"/>
      <c r="E184" s="22" t="s">
        <v>271</v>
      </c>
      <c r="F184" s="7"/>
      <c r="G184" s="114"/>
      <c r="H184" s="83">
        <v>3</v>
      </c>
      <c r="I184" s="150">
        <v>0</v>
      </c>
      <c r="J184" s="150"/>
      <c r="K184" s="143">
        <f t="shared" si="25"/>
        <v>0</v>
      </c>
      <c r="L184" s="143"/>
      <c r="M184" s="143"/>
      <c r="N184" s="4"/>
    </row>
    <row r="185" spans="2:18">
      <c r="B185" s="76"/>
      <c r="C185" s="76"/>
      <c r="D185" s="77"/>
      <c r="E185" s="77"/>
      <c r="F185" s="77"/>
      <c r="G185" s="115"/>
      <c r="H185" s="78"/>
      <c r="I185" s="78"/>
      <c r="J185" s="78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328</v>
      </c>
      <c r="D186" s="2"/>
      <c r="E186" s="3"/>
      <c r="F186" s="3"/>
      <c r="G186" s="111"/>
      <c r="H186" s="57"/>
      <c r="I186" s="57"/>
      <c r="J186" s="57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277</v>
      </c>
      <c r="D187" s="94"/>
      <c r="E187" s="96" t="s">
        <v>278</v>
      </c>
      <c r="F187" s="96"/>
      <c r="G187" s="112" t="s">
        <v>289</v>
      </c>
      <c r="H187" s="95" t="s">
        <v>279</v>
      </c>
      <c r="I187" s="123" t="s">
        <v>290</v>
      </c>
      <c r="J187" s="126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119"/>
      <c r="H188" s="81">
        <v>4</v>
      </c>
      <c r="I188" s="150">
        <v>0</v>
      </c>
      <c r="J188" s="150"/>
      <c r="K188" s="142">
        <f t="shared" ref="K188:K189" si="26">+H188*I188</f>
        <v>0</v>
      </c>
      <c r="L188" s="142"/>
      <c r="M188" s="142"/>
      <c r="N188" s="4"/>
    </row>
    <row r="189" spans="2:18">
      <c r="B189" s="54" t="s">
        <v>237</v>
      </c>
      <c r="C189" s="42" t="s">
        <v>349</v>
      </c>
      <c r="D189" s="60"/>
      <c r="E189" s="100" t="s">
        <v>273</v>
      </c>
      <c r="F189" s="7"/>
      <c r="G189" s="114"/>
      <c r="H189" s="83">
        <v>4</v>
      </c>
      <c r="I189" s="150">
        <v>0</v>
      </c>
      <c r="J189" s="150"/>
      <c r="K189" s="143">
        <f t="shared" si="26"/>
        <v>0</v>
      </c>
      <c r="L189" s="143"/>
      <c r="M189" s="143"/>
      <c r="N189" s="4"/>
    </row>
    <row r="190" spans="2:18">
      <c r="B190" s="76"/>
      <c r="C190" s="76"/>
      <c r="D190" s="77"/>
      <c r="E190" s="77"/>
      <c r="F190" s="77"/>
      <c r="G190" s="115"/>
      <c r="H190" s="78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  <c r="I191"/>
    </row>
    <row r="192" spans="2:18" ht="33.75">
      <c r="B192" s="67" t="s">
        <v>1</v>
      </c>
      <c r="C192" s="68" t="s">
        <v>44</v>
      </c>
      <c r="D192" s="69" t="s">
        <v>1</v>
      </c>
      <c r="E192" s="70" t="s">
        <v>1</v>
      </c>
      <c r="F192" s="71" t="s">
        <v>1</v>
      </c>
      <c r="G192" s="110" t="s">
        <v>1</v>
      </c>
      <c r="H192" s="73" t="s">
        <v>1</v>
      </c>
      <c r="I192" s="148">
        <f>SUM(I22:J189)</f>
        <v>0</v>
      </c>
      <c r="J192" s="148"/>
      <c r="K192" s="149">
        <f>SUM(K24:M191)</f>
        <v>0</v>
      </c>
      <c r="L192" s="149"/>
      <c r="M192" s="149"/>
      <c r="N192" s="74"/>
    </row>
    <row r="193" spans="2:9">
      <c r="B193" s="37"/>
      <c r="I193" s="122"/>
    </row>
    <row r="194" spans="2:9">
      <c r="B194" s="37"/>
      <c r="I194" s="122"/>
    </row>
    <row r="195" spans="2:9">
      <c r="B195" s="37"/>
      <c r="I195" s="122"/>
    </row>
    <row r="196" spans="2:9">
      <c r="B196" s="37"/>
      <c r="I196" s="122"/>
    </row>
    <row r="197" spans="2:9">
      <c r="B197" s="37"/>
      <c r="I197" s="122"/>
    </row>
    <row r="198" spans="2:9">
      <c r="B198" s="37"/>
      <c r="I198" s="122"/>
    </row>
    <row r="199" spans="2:9">
      <c r="B199" s="37"/>
      <c r="I199" s="122"/>
    </row>
    <row r="200" spans="2:9">
      <c r="B200" s="37"/>
      <c r="I200" s="122"/>
    </row>
    <row r="201" spans="2:9">
      <c r="B201" s="37"/>
      <c r="I201" s="122"/>
    </row>
    <row r="202" spans="2:9">
      <c r="B202" s="37"/>
      <c r="I202" s="122"/>
    </row>
    <row r="203" spans="2:9">
      <c r="B203" s="37"/>
      <c r="I203" s="122"/>
    </row>
    <row r="204" spans="2:9">
      <c r="B204" s="37"/>
      <c r="I204" s="122"/>
    </row>
    <row r="205" spans="2:9">
      <c r="B205" s="37"/>
      <c r="I205" s="122"/>
    </row>
    <row r="206" spans="2:9">
      <c r="B206" s="37"/>
      <c r="I206" s="122"/>
    </row>
    <row r="207" spans="2:9">
      <c r="B207" s="37"/>
      <c r="I207" s="122"/>
    </row>
    <row r="208" spans="2:9">
      <c r="B208" s="37"/>
      <c r="I208" s="122"/>
    </row>
    <row r="209" spans="2:9">
      <c r="B209" s="37"/>
      <c r="I209" s="122"/>
    </row>
    <row r="210" spans="2:9">
      <c r="B210" s="37"/>
      <c r="I210" s="122"/>
    </row>
    <row r="211" spans="2:9">
      <c r="B211" s="37"/>
      <c r="I211" s="122"/>
    </row>
    <row r="212" spans="2:9">
      <c r="B212" s="37"/>
      <c r="I212" s="122"/>
    </row>
    <row r="213" spans="2:9">
      <c r="B213" s="37"/>
      <c r="I213" s="122"/>
    </row>
    <row r="214" spans="2:9">
      <c r="B214" s="37"/>
      <c r="I214" s="122"/>
    </row>
    <row r="215" spans="2:9">
      <c r="B215" s="37"/>
      <c r="I215" s="122"/>
    </row>
    <row r="216" spans="2:9">
      <c r="B216" s="37"/>
      <c r="I216" s="122"/>
    </row>
    <row r="217" spans="2:9">
      <c r="B217" s="37"/>
      <c r="I217" s="122"/>
    </row>
    <row r="218" spans="2:9">
      <c r="B218" s="37"/>
      <c r="I218" s="122"/>
    </row>
    <row r="219" spans="2:9">
      <c r="B219" s="37"/>
      <c r="I219" s="122"/>
    </row>
    <row r="220" spans="2:9">
      <c r="I220" s="122"/>
    </row>
    <row r="221" spans="2:9">
      <c r="B221" s="37"/>
      <c r="I221" s="122"/>
    </row>
    <row r="222" spans="2:9">
      <c r="B222" s="37"/>
      <c r="I222" s="122"/>
    </row>
    <row r="223" spans="2:9">
      <c r="B223" s="37"/>
      <c r="I223" s="122"/>
    </row>
    <row r="224" spans="2:9">
      <c r="B224" s="37"/>
      <c r="I224" s="122"/>
    </row>
    <row r="225" spans="2:9">
      <c r="B225" s="37"/>
      <c r="I225" s="122"/>
    </row>
    <row r="226" spans="2:9">
      <c r="B226" s="37"/>
      <c r="I226" s="122"/>
    </row>
    <row r="227" spans="2:9">
      <c r="B227" s="37"/>
      <c r="I227" s="122"/>
    </row>
    <row r="228" spans="2:9">
      <c r="B228" s="37"/>
      <c r="I228" s="122"/>
    </row>
    <row r="229" spans="2:9">
      <c r="B229" s="37"/>
      <c r="I229" s="122"/>
    </row>
    <row r="230" spans="2:9">
      <c r="B230" s="37"/>
      <c r="I230" s="122"/>
    </row>
    <row r="231" spans="2:9">
      <c r="B231" s="37"/>
      <c r="I231" s="122"/>
    </row>
    <row r="232" spans="2:9">
      <c r="B232" s="37"/>
      <c r="I232" s="122"/>
    </row>
    <row r="233" spans="2:9">
      <c r="B233" s="37"/>
      <c r="I233" s="122"/>
    </row>
    <row r="234" spans="2:9">
      <c r="B234" s="37"/>
      <c r="I234" s="122"/>
    </row>
    <row r="235" spans="2:9">
      <c r="B235" s="37"/>
      <c r="I235" s="122"/>
    </row>
    <row r="236" spans="2:9">
      <c r="B236" s="37"/>
      <c r="I236" s="122"/>
    </row>
    <row r="237" spans="2:9">
      <c r="B237" s="37"/>
      <c r="I237" s="122"/>
    </row>
    <row r="238" spans="2:9">
      <c r="B238" s="37"/>
      <c r="I238" s="122"/>
    </row>
    <row r="239" spans="2:9">
      <c r="B239" s="37"/>
      <c r="I239" s="122"/>
    </row>
    <row r="240" spans="2:9">
      <c r="B240" s="37"/>
      <c r="I240" s="122"/>
    </row>
    <row r="241" spans="2:9">
      <c r="B241" s="37"/>
      <c r="I241" s="122"/>
    </row>
    <row r="242" spans="2:9">
      <c r="B242" s="37"/>
      <c r="I242" s="122"/>
    </row>
    <row r="243" spans="2:9">
      <c r="B243" s="37"/>
      <c r="I243" s="122"/>
    </row>
    <row r="244" spans="2:9">
      <c r="B244" s="37"/>
      <c r="I244" s="122"/>
    </row>
    <row r="245" spans="2:9">
      <c r="B245" s="37"/>
      <c r="I245" s="122"/>
    </row>
    <row r="246" spans="2:9">
      <c r="B246" s="37"/>
      <c r="I246" s="122"/>
    </row>
    <row r="247" spans="2:9">
      <c r="B247" s="37"/>
      <c r="I247" s="122"/>
    </row>
    <row r="248" spans="2:9">
      <c r="B248" s="37"/>
      <c r="I248" s="122"/>
    </row>
    <row r="249" spans="2:9">
      <c r="B249" s="37"/>
      <c r="I249" s="122"/>
    </row>
    <row r="250" spans="2:9">
      <c r="B250" s="37"/>
      <c r="I250" s="122"/>
    </row>
    <row r="251" spans="2:9">
      <c r="B251" s="37"/>
      <c r="I251" s="122"/>
    </row>
    <row r="252" spans="2:9">
      <c r="B252" s="37"/>
      <c r="I252" s="122"/>
    </row>
    <row r="253" spans="2:9">
      <c r="B253" s="37"/>
      <c r="I253" s="122"/>
    </row>
    <row r="254" spans="2:9">
      <c r="B254" s="37"/>
      <c r="I254" s="122"/>
    </row>
    <row r="255" spans="2:9">
      <c r="B255" s="37"/>
      <c r="I255" s="122"/>
    </row>
    <row r="256" spans="2:9">
      <c r="B256" s="37"/>
      <c r="I256" s="122"/>
    </row>
    <row r="257" spans="2:9">
      <c r="B257" s="37"/>
      <c r="I257" s="122"/>
    </row>
    <row r="258" spans="2:9">
      <c r="B258" s="37"/>
      <c r="I258" s="122"/>
    </row>
    <row r="259" spans="2:9">
      <c r="B259" s="37"/>
      <c r="I259" s="122"/>
    </row>
    <row r="260" spans="2:9">
      <c r="B260" s="37"/>
      <c r="I260" s="122"/>
    </row>
    <row r="261" spans="2:9">
      <c r="B261" s="37"/>
      <c r="I261" s="122"/>
    </row>
    <row r="262" spans="2:9">
      <c r="B262" s="37"/>
      <c r="I262" s="122"/>
    </row>
    <row r="263" spans="2:9">
      <c r="B263" s="37"/>
      <c r="I263" s="122"/>
    </row>
    <row r="264" spans="2:9">
      <c r="B264" s="37"/>
      <c r="I264" s="122"/>
    </row>
    <row r="265" spans="2:9">
      <c r="B265" s="37"/>
      <c r="I265" s="122"/>
    </row>
    <row r="266" spans="2:9">
      <c r="B266" s="37"/>
      <c r="I266" s="122"/>
    </row>
    <row r="267" spans="2:9">
      <c r="B267" s="37"/>
      <c r="I267" s="122"/>
    </row>
    <row r="268" spans="2:9">
      <c r="B268" s="37"/>
      <c r="I268" s="122"/>
    </row>
    <row r="269" spans="2:9">
      <c r="B269" s="37"/>
      <c r="I269" s="122"/>
    </row>
    <row r="270" spans="2:9">
      <c r="B270" s="37"/>
      <c r="I270" s="122"/>
    </row>
    <row r="271" spans="2:9">
      <c r="B271" s="37"/>
      <c r="I271" s="122"/>
    </row>
    <row r="272" spans="2:9">
      <c r="B272" s="37"/>
      <c r="I272" s="122"/>
    </row>
    <row r="273" spans="2:9">
      <c r="B273" s="37"/>
      <c r="I273" s="122"/>
    </row>
    <row r="274" spans="2:9">
      <c r="I274" s="122"/>
    </row>
    <row r="275" spans="2:9">
      <c r="I275" s="122"/>
    </row>
    <row r="276" spans="2:9">
      <c r="I276" s="122"/>
    </row>
    <row r="277" spans="2:9">
      <c r="I277" s="122"/>
    </row>
    <row r="278" spans="2:9">
      <c r="I278" s="122"/>
    </row>
    <row r="279" spans="2:9">
      <c r="I279" s="122"/>
    </row>
    <row r="280" spans="2:9">
      <c r="I280" s="122"/>
    </row>
    <row r="281" spans="2:9">
      <c r="I281" s="122"/>
    </row>
    <row r="282" spans="2:9">
      <c r="I282" s="122"/>
    </row>
    <row r="283" spans="2:9">
      <c r="I283" s="122"/>
    </row>
    <row r="284" spans="2:9">
      <c r="I284" s="122"/>
    </row>
    <row r="285" spans="2:9">
      <c r="I285" s="122"/>
    </row>
    <row r="286" spans="2:9">
      <c r="I286" s="122"/>
    </row>
    <row r="287" spans="2:9">
      <c r="I287" s="122"/>
    </row>
    <row r="288" spans="2:9">
      <c r="I288" s="122"/>
    </row>
    <row r="289" spans="9:9">
      <c r="I289" s="122"/>
    </row>
    <row r="290" spans="9:9">
      <c r="I290" s="122"/>
    </row>
    <row r="291" spans="9:9">
      <c r="I291" s="122"/>
    </row>
    <row r="292" spans="9:9">
      <c r="I292" s="122"/>
    </row>
    <row r="293" spans="9:9">
      <c r="I293" s="122"/>
    </row>
    <row r="294" spans="9:9">
      <c r="I294" s="122"/>
    </row>
    <row r="295" spans="9:9">
      <c r="I295" s="122"/>
    </row>
    <row r="296" spans="9:9">
      <c r="I296" s="122"/>
    </row>
    <row r="297" spans="9:9">
      <c r="I297" s="122"/>
    </row>
    <row r="298" spans="9:9">
      <c r="I298" s="122"/>
    </row>
    <row r="299" spans="9:9">
      <c r="I299" s="122"/>
    </row>
    <row r="300" spans="9:9">
      <c r="I300" s="122"/>
    </row>
    <row r="301" spans="9:9">
      <c r="I301" s="122"/>
    </row>
    <row r="302" spans="9:9">
      <c r="I302" s="122"/>
    </row>
    <row r="303" spans="9:9">
      <c r="I303" s="122"/>
    </row>
    <row r="304" spans="9:9">
      <c r="I304" s="122"/>
    </row>
    <row r="305" spans="9:9">
      <c r="I305" s="122"/>
    </row>
    <row r="306" spans="9:9">
      <c r="I306" s="122"/>
    </row>
    <row r="307" spans="9:9">
      <c r="I307" s="122"/>
    </row>
    <row r="308" spans="9:9">
      <c r="I308" s="122"/>
    </row>
    <row r="309" spans="9:9">
      <c r="I309" s="122"/>
    </row>
    <row r="310" spans="9:9">
      <c r="I310" s="122"/>
    </row>
    <row r="311" spans="9:9">
      <c r="I311" s="122"/>
    </row>
    <row r="312" spans="9:9">
      <c r="I312" s="122"/>
    </row>
    <row r="313" spans="9:9">
      <c r="I313" s="122"/>
    </row>
    <row r="314" spans="9:9">
      <c r="I314" s="122"/>
    </row>
    <row r="315" spans="9:9">
      <c r="I315" s="122"/>
    </row>
    <row r="316" spans="9:9">
      <c r="I316" s="122"/>
    </row>
    <row r="317" spans="9:9">
      <c r="I317" s="122"/>
    </row>
    <row r="318" spans="9:9">
      <c r="I318" s="122"/>
    </row>
    <row r="319" spans="9:9">
      <c r="I319" s="122"/>
    </row>
    <row r="320" spans="9:9">
      <c r="I320" s="122"/>
    </row>
    <row r="321" spans="9:9">
      <c r="I321" s="122"/>
    </row>
    <row r="322" spans="9:9">
      <c r="I322" s="122"/>
    </row>
    <row r="323" spans="9:9">
      <c r="I323" s="122"/>
    </row>
    <row r="324" spans="9:9">
      <c r="I324" s="122"/>
    </row>
    <row r="325" spans="9:9">
      <c r="I325" s="122"/>
    </row>
    <row r="326" spans="9:9">
      <c r="I326" s="122"/>
    </row>
    <row r="327" spans="9:9">
      <c r="I327" s="122"/>
    </row>
    <row r="328" spans="9:9">
      <c r="I328" s="122"/>
    </row>
    <row r="329" spans="9:9">
      <c r="I329" s="122"/>
    </row>
    <row r="330" spans="9:9">
      <c r="I330" s="122"/>
    </row>
    <row r="331" spans="9:9">
      <c r="I331" s="122"/>
    </row>
    <row r="332" spans="9:9">
      <c r="I332" s="122"/>
    </row>
    <row r="333" spans="9:9">
      <c r="I333" s="122"/>
    </row>
    <row r="334" spans="9:9">
      <c r="I334" s="122"/>
    </row>
    <row r="335" spans="9:9">
      <c r="I335" s="122"/>
    </row>
    <row r="336" spans="9:9">
      <c r="I336" s="122"/>
    </row>
    <row r="337" spans="9:9">
      <c r="I337" s="122"/>
    </row>
    <row r="338" spans="9:9">
      <c r="I338" s="122"/>
    </row>
    <row r="339" spans="9:9">
      <c r="I339" s="122"/>
    </row>
    <row r="340" spans="9:9">
      <c r="I340" s="122"/>
    </row>
    <row r="341" spans="9:9">
      <c r="I341" s="122"/>
    </row>
    <row r="342" spans="9:9">
      <c r="I342" s="122"/>
    </row>
    <row r="343" spans="9:9">
      <c r="I343" s="122"/>
    </row>
    <row r="344" spans="9:9">
      <c r="I344" s="122"/>
    </row>
    <row r="345" spans="9:9">
      <c r="I345" s="122"/>
    </row>
    <row r="346" spans="9:9">
      <c r="I346" s="122"/>
    </row>
    <row r="347" spans="9:9">
      <c r="I347" s="122"/>
    </row>
    <row r="348" spans="9:9">
      <c r="I348" s="122"/>
    </row>
    <row r="349" spans="9:9">
      <c r="I349" s="122"/>
    </row>
    <row r="350" spans="9:9">
      <c r="I350" s="122"/>
    </row>
    <row r="351" spans="9:9">
      <c r="I351" s="122"/>
    </row>
    <row r="352" spans="9:9">
      <c r="I352" s="122"/>
    </row>
    <row r="353" spans="9:9">
      <c r="I353" s="122"/>
    </row>
    <row r="354" spans="9:9">
      <c r="I354" s="122"/>
    </row>
    <row r="355" spans="9:9">
      <c r="I355" s="122"/>
    </row>
    <row r="356" spans="9:9">
      <c r="I356" s="122"/>
    </row>
    <row r="357" spans="9:9">
      <c r="I357" s="122"/>
    </row>
    <row r="358" spans="9:9">
      <c r="I358" s="122"/>
    </row>
    <row r="359" spans="9:9">
      <c r="I359" s="122"/>
    </row>
    <row r="360" spans="9:9">
      <c r="I360" s="122"/>
    </row>
    <row r="361" spans="9:9">
      <c r="I361" s="122"/>
    </row>
    <row r="362" spans="9:9">
      <c r="I362" s="122"/>
    </row>
    <row r="363" spans="9:9">
      <c r="I363" s="122"/>
    </row>
    <row r="364" spans="9:9">
      <c r="I364" s="122"/>
    </row>
    <row r="365" spans="9:9">
      <c r="I365" s="122"/>
    </row>
    <row r="366" spans="9:9">
      <c r="I366" s="122"/>
    </row>
    <row r="367" spans="9:9">
      <c r="I367" s="122"/>
    </row>
    <row r="368" spans="9:9">
      <c r="I368" s="122"/>
    </row>
    <row r="369" spans="9:9">
      <c r="I369" s="122"/>
    </row>
    <row r="370" spans="9:9">
      <c r="I370" s="122"/>
    </row>
    <row r="371" spans="9:9">
      <c r="I371" s="122"/>
    </row>
    <row r="372" spans="9:9">
      <c r="I372" s="122"/>
    </row>
    <row r="373" spans="9:9">
      <c r="I373" s="122"/>
    </row>
    <row r="374" spans="9:9">
      <c r="I374" s="122"/>
    </row>
    <row r="375" spans="9:9">
      <c r="I375" s="122"/>
    </row>
    <row r="376" spans="9:9">
      <c r="I376" s="122"/>
    </row>
    <row r="377" spans="9:9">
      <c r="I377" s="122"/>
    </row>
    <row r="378" spans="9:9">
      <c r="I378" s="122"/>
    </row>
    <row r="379" spans="9:9">
      <c r="I379" s="122"/>
    </row>
    <row r="380" spans="9:9">
      <c r="I380" s="122"/>
    </row>
    <row r="381" spans="9:9">
      <c r="I381" s="122"/>
    </row>
    <row r="382" spans="9:9">
      <c r="I382" s="122"/>
    </row>
    <row r="383" spans="9:9">
      <c r="I383" s="122"/>
    </row>
    <row r="384" spans="9:9">
      <c r="I384" s="122"/>
    </row>
    <row r="385" spans="9:9">
      <c r="I385" s="122"/>
    </row>
    <row r="386" spans="9:9">
      <c r="I386" s="122"/>
    </row>
    <row r="387" spans="9:9">
      <c r="I387" s="122"/>
    </row>
    <row r="388" spans="9:9">
      <c r="I388" s="122"/>
    </row>
    <row r="389" spans="9:9">
      <c r="I389" s="122"/>
    </row>
    <row r="390" spans="9:9">
      <c r="I390" s="122"/>
    </row>
    <row r="391" spans="9:9">
      <c r="I391" s="122"/>
    </row>
    <row r="392" spans="9:9">
      <c r="I392" s="122"/>
    </row>
    <row r="393" spans="9:9">
      <c r="I393" s="122"/>
    </row>
    <row r="394" spans="9:9">
      <c r="I394" s="122"/>
    </row>
    <row r="395" spans="9:9">
      <c r="I395" s="122"/>
    </row>
    <row r="396" spans="9:9">
      <c r="I396" s="122"/>
    </row>
    <row r="397" spans="9:9">
      <c r="I397" s="122"/>
    </row>
    <row r="398" spans="9:9">
      <c r="I398" s="122"/>
    </row>
    <row r="399" spans="9:9">
      <c r="I399" s="122"/>
    </row>
    <row r="400" spans="9:9">
      <c r="I400" s="122"/>
    </row>
    <row r="401" spans="9:9">
      <c r="I401" s="122"/>
    </row>
    <row r="402" spans="9:9">
      <c r="I402" s="122"/>
    </row>
    <row r="403" spans="9:9">
      <c r="I403" s="122"/>
    </row>
    <row r="404" spans="9:9">
      <c r="I404" s="122"/>
    </row>
    <row r="405" spans="9:9">
      <c r="I405" s="122"/>
    </row>
    <row r="406" spans="9:9">
      <c r="I406" s="122"/>
    </row>
    <row r="407" spans="9:9">
      <c r="I407" s="122"/>
    </row>
    <row r="408" spans="9:9">
      <c r="I408" s="122"/>
    </row>
    <row r="409" spans="9:9">
      <c r="I409" s="122"/>
    </row>
    <row r="410" spans="9:9">
      <c r="I410" s="122"/>
    </row>
    <row r="411" spans="9:9">
      <c r="I411" s="122"/>
    </row>
    <row r="412" spans="9:9">
      <c r="I412" s="122"/>
    </row>
    <row r="413" spans="9:9">
      <c r="I413" s="122"/>
    </row>
    <row r="414" spans="9:9">
      <c r="I414" s="122"/>
    </row>
    <row r="415" spans="9:9">
      <c r="I415" s="122"/>
    </row>
    <row r="416" spans="9:9">
      <c r="I416" s="122"/>
    </row>
    <row r="417" spans="9:9">
      <c r="I417" s="122"/>
    </row>
    <row r="418" spans="9:9">
      <c r="I418" s="122"/>
    </row>
    <row r="419" spans="9:9">
      <c r="I419" s="122"/>
    </row>
    <row r="420" spans="9:9">
      <c r="I420" s="122"/>
    </row>
    <row r="421" spans="9:9">
      <c r="I421" s="122"/>
    </row>
    <row r="422" spans="9:9">
      <c r="I422" s="122"/>
    </row>
    <row r="423" spans="9:9">
      <c r="I423" s="122"/>
    </row>
    <row r="424" spans="9:9">
      <c r="I424" s="122"/>
    </row>
    <row r="425" spans="9:9">
      <c r="I425" s="122"/>
    </row>
    <row r="426" spans="9:9">
      <c r="I426" s="122"/>
    </row>
    <row r="427" spans="9:9">
      <c r="I427" s="122"/>
    </row>
    <row r="428" spans="9:9">
      <c r="I428" s="122"/>
    </row>
    <row r="429" spans="9:9">
      <c r="I429" s="122"/>
    </row>
    <row r="430" spans="9:9">
      <c r="I430" s="122"/>
    </row>
    <row r="431" spans="9:9">
      <c r="I431" s="122"/>
    </row>
    <row r="432" spans="9:9">
      <c r="I432" s="122"/>
    </row>
    <row r="433" spans="9:9">
      <c r="I433" s="122"/>
    </row>
    <row r="434" spans="9:9">
      <c r="I434" s="122"/>
    </row>
    <row r="435" spans="9:9">
      <c r="I435" s="122"/>
    </row>
    <row r="436" spans="9:9">
      <c r="I436" s="122"/>
    </row>
    <row r="437" spans="9:9">
      <c r="I437" s="122"/>
    </row>
    <row r="438" spans="9:9">
      <c r="I438" s="122"/>
    </row>
    <row r="439" spans="9:9">
      <c r="I439" s="122"/>
    </row>
    <row r="440" spans="9:9">
      <c r="I440" s="122"/>
    </row>
    <row r="441" spans="9:9">
      <c r="I441" s="122"/>
    </row>
    <row r="442" spans="9:9">
      <c r="I442" s="122"/>
    </row>
    <row r="443" spans="9:9">
      <c r="I443" s="122"/>
    </row>
    <row r="444" spans="9:9">
      <c r="I444" s="122"/>
    </row>
    <row r="445" spans="9:9">
      <c r="I445" s="122"/>
    </row>
    <row r="446" spans="9:9">
      <c r="I446" s="122"/>
    </row>
    <row r="447" spans="9:9">
      <c r="I447" s="122"/>
    </row>
    <row r="448" spans="9:9">
      <c r="I448" s="122"/>
    </row>
    <row r="449" spans="9:9">
      <c r="I449" s="122"/>
    </row>
    <row r="450" spans="9:9">
      <c r="I450" s="122"/>
    </row>
    <row r="451" spans="9:9">
      <c r="I451" s="122"/>
    </row>
    <row r="452" spans="9:9">
      <c r="I452" s="122"/>
    </row>
    <row r="453" spans="9:9">
      <c r="I453" s="122"/>
    </row>
    <row r="454" spans="9:9">
      <c r="I454" s="122"/>
    </row>
    <row r="455" spans="9:9">
      <c r="I455" s="122"/>
    </row>
    <row r="456" spans="9:9">
      <c r="I456" s="122"/>
    </row>
    <row r="457" spans="9:9">
      <c r="I457" s="122"/>
    </row>
    <row r="458" spans="9:9">
      <c r="I458" s="122"/>
    </row>
    <row r="459" spans="9:9">
      <c r="I459" s="122"/>
    </row>
    <row r="460" spans="9:9">
      <c r="I460" s="122"/>
    </row>
    <row r="461" spans="9:9">
      <c r="I461" s="122"/>
    </row>
    <row r="462" spans="9:9">
      <c r="I462" s="122"/>
    </row>
    <row r="463" spans="9:9">
      <c r="I463" s="122"/>
    </row>
    <row r="464" spans="9:9">
      <c r="I464" s="122"/>
    </row>
    <row r="465" spans="9:9">
      <c r="I465" s="122"/>
    </row>
    <row r="466" spans="9:9">
      <c r="I466" s="122"/>
    </row>
    <row r="467" spans="9:9">
      <c r="I467" s="122"/>
    </row>
    <row r="468" spans="9:9">
      <c r="I468" s="122"/>
    </row>
    <row r="469" spans="9:9">
      <c r="I469" s="122"/>
    </row>
    <row r="470" spans="9:9">
      <c r="I470" s="122"/>
    </row>
    <row r="471" spans="9:9">
      <c r="I471" s="122"/>
    </row>
    <row r="472" spans="9:9">
      <c r="I472" s="122"/>
    </row>
    <row r="473" spans="9:9">
      <c r="I473" s="122"/>
    </row>
    <row r="474" spans="9:9">
      <c r="I474" s="122"/>
    </row>
    <row r="475" spans="9:9">
      <c r="I475" s="122"/>
    </row>
    <row r="476" spans="9:9">
      <c r="I476" s="122"/>
    </row>
    <row r="477" spans="9:9">
      <c r="I477" s="122"/>
    </row>
    <row r="478" spans="9:9">
      <c r="I478" s="122"/>
    </row>
    <row r="479" spans="9:9">
      <c r="I479" s="122"/>
    </row>
    <row r="480" spans="9:9">
      <c r="I480" s="122"/>
    </row>
    <row r="481" spans="9:9">
      <c r="I481" s="122"/>
    </row>
    <row r="482" spans="9:9">
      <c r="I482" s="122"/>
    </row>
    <row r="483" spans="9:9">
      <c r="I483" s="122"/>
    </row>
    <row r="484" spans="9:9">
      <c r="I484" s="122"/>
    </row>
    <row r="485" spans="9:9">
      <c r="I485" s="122"/>
    </row>
    <row r="486" spans="9:9">
      <c r="I486" s="122"/>
    </row>
    <row r="487" spans="9:9">
      <c r="I487" s="122"/>
    </row>
    <row r="488" spans="9:9">
      <c r="I488" s="122"/>
    </row>
    <row r="489" spans="9:9">
      <c r="I489" s="122"/>
    </row>
    <row r="490" spans="9:9">
      <c r="I490" s="122"/>
    </row>
    <row r="491" spans="9:9">
      <c r="I491" s="122"/>
    </row>
    <row r="492" spans="9:9">
      <c r="I492" s="122"/>
    </row>
    <row r="493" spans="9:9">
      <c r="I493" s="122"/>
    </row>
    <row r="494" spans="9:9">
      <c r="I494" s="122"/>
    </row>
    <row r="495" spans="9:9">
      <c r="I495" s="122"/>
    </row>
    <row r="496" spans="9:9">
      <c r="I496" s="122"/>
    </row>
    <row r="497" spans="9:9">
      <c r="I497" s="122"/>
    </row>
    <row r="498" spans="9:9">
      <c r="I498" s="122"/>
    </row>
    <row r="499" spans="9:9">
      <c r="I499" s="122"/>
    </row>
    <row r="500" spans="9:9">
      <c r="I500" s="122"/>
    </row>
    <row r="501" spans="9:9">
      <c r="I501" s="122"/>
    </row>
    <row r="502" spans="9:9">
      <c r="I502" s="122"/>
    </row>
    <row r="503" spans="9:9">
      <c r="I503" s="122"/>
    </row>
    <row r="504" spans="9:9">
      <c r="I504" s="122"/>
    </row>
    <row r="505" spans="9:9">
      <c r="I505" s="122"/>
    </row>
    <row r="506" spans="9:9">
      <c r="I506" s="122"/>
    </row>
    <row r="507" spans="9:9">
      <c r="I507" s="122"/>
    </row>
    <row r="508" spans="9:9">
      <c r="I508" s="122"/>
    </row>
    <row r="509" spans="9:9">
      <c r="I509" s="122"/>
    </row>
    <row r="510" spans="9:9">
      <c r="I510" s="122"/>
    </row>
    <row r="511" spans="9:9">
      <c r="I511" s="122"/>
    </row>
    <row r="512" spans="9:9">
      <c r="I512" s="122"/>
    </row>
    <row r="513" spans="9:9">
      <c r="I513" s="122"/>
    </row>
    <row r="514" spans="9:9">
      <c r="I514" s="122"/>
    </row>
    <row r="515" spans="9:9">
      <c r="I515" s="122"/>
    </row>
    <row r="516" spans="9:9">
      <c r="I516" s="122"/>
    </row>
    <row r="517" spans="9:9">
      <c r="I517" s="122"/>
    </row>
    <row r="518" spans="9:9">
      <c r="I518" s="122"/>
    </row>
    <row r="519" spans="9:9">
      <c r="I519" s="122"/>
    </row>
    <row r="520" spans="9:9">
      <c r="I520" s="122"/>
    </row>
    <row r="521" spans="9:9">
      <c r="I521" s="122"/>
    </row>
    <row r="522" spans="9:9">
      <c r="I522" s="122"/>
    </row>
    <row r="523" spans="9:9">
      <c r="I523" s="122"/>
    </row>
    <row r="524" spans="9:9">
      <c r="I524" s="122"/>
    </row>
    <row r="525" spans="9:9">
      <c r="I525" s="122"/>
    </row>
    <row r="526" spans="9:9">
      <c r="I526" s="122"/>
    </row>
    <row r="527" spans="9:9">
      <c r="I527" s="122"/>
    </row>
    <row r="528" spans="9:9">
      <c r="I528" s="122"/>
    </row>
    <row r="529" spans="9:9">
      <c r="I529" s="122"/>
    </row>
    <row r="530" spans="9:9">
      <c r="I530" s="122"/>
    </row>
    <row r="531" spans="9:9">
      <c r="I531" s="122"/>
    </row>
    <row r="532" spans="9:9">
      <c r="I532" s="122"/>
    </row>
    <row r="533" spans="9:9">
      <c r="I533" s="122"/>
    </row>
    <row r="534" spans="9:9">
      <c r="I534" s="122"/>
    </row>
    <row r="535" spans="9:9">
      <c r="I535" s="122"/>
    </row>
    <row r="536" spans="9:9">
      <c r="I536" s="122"/>
    </row>
    <row r="537" spans="9:9">
      <c r="I537" s="122"/>
    </row>
    <row r="538" spans="9:9">
      <c r="I538" s="122"/>
    </row>
    <row r="539" spans="9:9">
      <c r="I539" s="122"/>
    </row>
    <row r="540" spans="9:9">
      <c r="I540" s="122"/>
    </row>
    <row r="541" spans="9:9">
      <c r="I541" s="122"/>
    </row>
    <row r="542" spans="9:9">
      <c r="I542" s="122"/>
    </row>
    <row r="543" spans="9:9">
      <c r="I543" s="122"/>
    </row>
    <row r="544" spans="9:9">
      <c r="I544" s="122"/>
    </row>
    <row r="545" spans="9:9">
      <c r="I545" s="122"/>
    </row>
    <row r="546" spans="9:9">
      <c r="I546" s="122"/>
    </row>
    <row r="547" spans="9:9">
      <c r="I547" s="122"/>
    </row>
    <row r="548" spans="9:9">
      <c r="I548" s="122"/>
    </row>
    <row r="549" spans="9:9">
      <c r="I549" s="122"/>
    </row>
    <row r="550" spans="9:9">
      <c r="I550" s="122"/>
    </row>
    <row r="551" spans="9:9">
      <c r="I551" s="122"/>
    </row>
    <row r="552" spans="9:9">
      <c r="I552" s="122"/>
    </row>
    <row r="553" spans="9:9">
      <c r="I553" s="122"/>
    </row>
    <row r="554" spans="9:9">
      <c r="I554" s="122"/>
    </row>
    <row r="555" spans="9:9">
      <c r="I555" s="122"/>
    </row>
    <row r="556" spans="9:9">
      <c r="I556" s="122"/>
    </row>
    <row r="557" spans="9:9">
      <c r="I557" s="122"/>
    </row>
    <row r="558" spans="9:9">
      <c r="I558" s="122"/>
    </row>
    <row r="559" spans="9:9">
      <c r="I559" s="122"/>
    </row>
    <row r="560" spans="9:9">
      <c r="I560" s="122"/>
    </row>
    <row r="561" spans="9:9">
      <c r="I561" s="122"/>
    </row>
    <row r="562" spans="9:9">
      <c r="I562" s="122"/>
    </row>
    <row r="563" spans="9:9">
      <c r="I563" s="122"/>
    </row>
    <row r="564" spans="9:9">
      <c r="I564" s="122"/>
    </row>
    <row r="565" spans="9:9">
      <c r="I565" s="122"/>
    </row>
    <row r="566" spans="9:9">
      <c r="I566" s="122"/>
    </row>
    <row r="567" spans="9:9">
      <c r="I567" s="122"/>
    </row>
    <row r="568" spans="9:9">
      <c r="I568" s="122"/>
    </row>
    <row r="569" spans="9:9">
      <c r="I569" s="122"/>
    </row>
    <row r="570" spans="9:9">
      <c r="I570" s="122"/>
    </row>
    <row r="571" spans="9:9">
      <c r="I571" s="122"/>
    </row>
    <row r="572" spans="9:9">
      <c r="I572" s="122"/>
    </row>
    <row r="573" spans="9:9">
      <c r="I573" s="122"/>
    </row>
    <row r="574" spans="9:9">
      <c r="I574" s="122"/>
    </row>
    <row r="575" spans="9:9">
      <c r="I575" s="122"/>
    </row>
    <row r="576" spans="9:9">
      <c r="I576" s="122"/>
    </row>
    <row r="577" spans="9:9">
      <c r="I577" s="122"/>
    </row>
    <row r="578" spans="9:9">
      <c r="I578" s="122"/>
    </row>
    <row r="579" spans="9:9">
      <c r="I579" s="122"/>
    </row>
    <row r="580" spans="9:9">
      <c r="I580" s="122"/>
    </row>
    <row r="581" spans="9:9">
      <c r="I581" s="122"/>
    </row>
    <row r="582" spans="9:9">
      <c r="I582" s="122"/>
    </row>
    <row r="583" spans="9:9">
      <c r="I583" s="122"/>
    </row>
    <row r="584" spans="9:9">
      <c r="I584" s="122"/>
    </row>
    <row r="585" spans="9:9">
      <c r="I585" s="122"/>
    </row>
    <row r="586" spans="9:9">
      <c r="I586" s="122"/>
    </row>
    <row r="587" spans="9:9">
      <c r="I587" s="122"/>
    </row>
    <row r="588" spans="9:9">
      <c r="I588" s="122"/>
    </row>
    <row r="589" spans="9:9">
      <c r="I589" s="122"/>
    </row>
    <row r="590" spans="9:9">
      <c r="I590" s="122"/>
    </row>
    <row r="591" spans="9:9">
      <c r="I591" s="122"/>
    </row>
    <row r="592" spans="9:9">
      <c r="I592" s="122"/>
    </row>
    <row r="593" spans="9:9">
      <c r="I593" s="122"/>
    </row>
    <row r="594" spans="9:9">
      <c r="I594" s="122"/>
    </row>
    <row r="595" spans="9:9">
      <c r="I595" s="122"/>
    </row>
    <row r="596" spans="9:9">
      <c r="I596" s="122"/>
    </row>
    <row r="597" spans="9:9">
      <c r="I597" s="122"/>
    </row>
    <row r="598" spans="9:9">
      <c r="I598" s="122"/>
    </row>
    <row r="599" spans="9:9">
      <c r="I599" s="122"/>
    </row>
    <row r="600" spans="9:9">
      <c r="I600" s="122"/>
    </row>
    <row r="601" spans="9:9">
      <c r="I601" s="122"/>
    </row>
    <row r="602" spans="9:9">
      <c r="I602" s="122"/>
    </row>
    <row r="603" spans="9:9">
      <c r="I603" s="122"/>
    </row>
    <row r="604" spans="9:9">
      <c r="I604" s="122"/>
    </row>
    <row r="605" spans="9:9">
      <c r="I605" s="122"/>
    </row>
    <row r="606" spans="9:9">
      <c r="I606" s="122"/>
    </row>
    <row r="607" spans="9:9">
      <c r="I607" s="122"/>
    </row>
    <row r="608" spans="9:9">
      <c r="I608" s="122"/>
    </row>
    <row r="609" spans="9:9">
      <c r="I609" s="122"/>
    </row>
    <row r="610" spans="9:9">
      <c r="I610" s="122"/>
    </row>
    <row r="611" spans="9:9">
      <c r="I611" s="122"/>
    </row>
    <row r="612" spans="9:9">
      <c r="I612" s="122"/>
    </row>
    <row r="613" spans="9:9">
      <c r="I613" s="122"/>
    </row>
    <row r="614" spans="9:9">
      <c r="I614" s="122"/>
    </row>
    <row r="615" spans="9:9">
      <c r="I615" s="122"/>
    </row>
    <row r="616" spans="9:9">
      <c r="I616" s="122"/>
    </row>
    <row r="617" spans="9:9">
      <c r="I617" s="122"/>
    </row>
    <row r="618" spans="9:9">
      <c r="I618" s="122"/>
    </row>
    <row r="619" spans="9:9">
      <c r="I619" s="122"/>
    </row>
    <row r="620" spans="9:9">
      <c r="I620" s="122"/>
    </row>
    <row r="621" spans="9:9">
      <c r="I621" s="122"/>
    </row>
    <row r="622" spans="9:9">
      <c r="I622" s="122"/>
    </row>
    <row r="623" spans="9:9">
      <c r="I623" s="122"/>
    </row>
    <row r="624" spans="9:9">
      <c r="I624" s="122"/>
    </row>
    <row r="625" spans="9:9">
      <c r="I625" s="122"/>
    </row>
    <row r="626" spans="9:9">
      <c r="I626" s="122"/>
    </row>
    <row r="627" spans="9:9">
      <c r="I627" s="122"/>
    </row>
    <row r="628" spans="9:9">
      <c r="I628" s="122"/>
    </row>
    <row r="629" spans="9:9">
      <c r="I629" s="122"/>
    </row>
    <row r="630" spans="9:9">
      <c r="I630" s="122"/>
    </row>
    <row r="631" spans="9:9">
      <c r="I631" s="122"/>
    </row>
    <row r="632" spans="9:9">
      <c r="I632" s="122"/>
    </row>
    <row r="633" spans="9:9">
      <c r="I633" s="122"/>
    </row>
    <row r="634" spans="9:9">
      <c r="I634" s="122"/>
    </row>
    <row r="635" spans="9:9">
      <c r="I635" s="122"/>
    </row>
    <row r="636" spans="9:9">
      <c r="I636" s="122"/>
    </row>
    <row r="637" spans="9:9">
      <c r="I637" s="122"/>
    </row>
    <row r="638" spans="9:9">
      <c r="I638" s="122"/>
    </row>
    <row r="639" spans="9:9">
      <c r="I639" s="122"/>
    </row>
    <row r="640" spans="9:9">
      <c r="I640" s="122"/>
    </row>
    <row r="641" spans="9:9">
      <c r="I641" s="122"/>
    </row>
    <row r="642" spans="9:9">
      <c r="I642" s="122"/>
    </row>
    <row r="643" spans="9:9">
      <c r="I643" s="122"/>
    </row>
    <row r="644" spans="9:9">
      <c r="I644" s="122"/>
    </row>
    <row r="645" spans="9:9">
      <c r="I645" s="122"/>
    </row>
    <row r="646" spans="9:9">
      <c r="I646" s="122"/>
    </row>
    <row r="647" spans="9:9">
      <c r="I647" s="122"/>
    </row>
    <row r="648" spans="9:9">
      <c r="I648" s="122"/>
    </row>
    <row r="649" spans="9:9">
      <c r="I649" s="122"/>
    </row>
    <row r="650" spans="9:9">
      <c r="I650" s="122"/>
    </row>
    <row r="651" spans="9:9">
      <c r="I651" s="122"/>
    </row>
    <row r="652" spans="9:9">
      <c r="I652" s="122"/>
    </row>
    <row r="653" spans="9:9">
      <c r="I653" s="122"/>
    </row>
    <row r="654" spans="9:9">
      <c r="I654" s="122"/>
    </row>
    <row r="655" spans="9:9">
      <c r="I655" s="122"/>
    </row>
    <row r="656" spans="9:9">
      <c r="I656" s="122"/>
    </row>
    <row r="657" spans="9:9">
      <c r="I657" s="122"/>
    </row>
    <row r="658" spans="9:9">
      <c r="I658" s="122"/>
    </row>
    <row r="659" spans="9:9">
      <c r="I659" s="122"/>
    </row>
    <row r="660" spans="9:9">
      <c r="I660" s="122"/>
    </row>
    <row r="661" spans="9:9">
      <c r="I661" s="122"/>
    </row>
    <row r="662" spans="9:9">
      <c r="I662" s="122"/>
    </row>
    <row r="663" spans="9:9">
      <c r="I663" s="122"/>
    </row>
    <row r="664" spans="9:9">
      <c r="I664" s="122"/>
    </row>
    <row r="665" spans="9:9">
      <c r="I665" s="122"/>
    </row>
    <row r="666" spans="9:9">
      <c r="I666" s="122"/>
    </row>
    <row r="667" spans="9:9">
      <c r="I667" s="122"/>
    </row>
    <row r="668" spans="9:9">
      <c r="I668" s="122"/>
    </row>
    <row r="669" spans="9:9">
      <c r="I669" s="122"/>
    </row>
    <row r="670" spans="9:9">
      <c r="I670" s="122"/>
    </row>
    <row r="671" spans="9:9">
      <c r="I671" s="122"/>
    </row>
    <row r="672" spans="9:9">
      <c r="I672" s="122"/>
    </row>
    <row r="673" spans="9:9">
      <c r="I673" s="122"/>
    </row>
    <row r="674" spans="9:9">
      <c r="I674" s="122"/>
    </row>
    <row r="675" spans="9:9">
      <c r="I675" s="122"/>
    </row>
    <row r="676" spans="9:9">
      <c r="I676" s="122"/>
    </row>
    <row r="677" spans="9:9">
      <c r="I677" s="122"/>
    </row>
    <row r="678" spans="9:9">
      <c r="I678" s="122"/>
    </row>
    <row r="679" spans="9:9">
      <c r="I679" s="122"/>
    </row>
    <row r="680" spans="9:9">
      <c r="I680" s="122"/>
    </row>
    <row r="681" spans="9:9">
      <c r="I681" s="122"/>
    </row>
    <row r="682" spans="9:9">
      <c r="I682" s="122"/>
    </row>
    <row r="683" spans="9:9">
      <c r="I683" s="122"/>
    </row>
    <row r="684" spans="9:9">
      <c r="I684" s="122"/>
    </row>
    <row r="685" spans="9:9">
      <c r="I685" s="122"/>
    </row>
    <row r="686" spans="9:9">
      <c r="I686" s="122"/>
    </row>
    <row r="687" spans="9:9">
      <c r="I687" s="122"/>
    </row>
    <row r="688" spans="9:9">
      <c r="I688" s="122"/>
    </row>
    <row r="689" spans="9:9">
      <c r="I689" s="122"/>
    </row>
    <row r="690" spans="9:9">
      <c r="I690" s="122"/>
    </row>
    <row r="691" spans="9:9">
      <c r="I691" s="122"/>
    </row>
    <row r="692" spans="9:9">
      <c r="I692" s="122"/>
    </row>
    <row r="693" spans="9:9">
      <c r="I693" s="122"/>
    </row>
    <row r="694" spans="9:9">
      <c r="I694" s="122"/>
    </row>
    <row r="695" spans="9:9">
      <c r="I695" s="122"/>
    </row>
    <row r="696" spans="9:9">
      <c r="I696" s="122"/>
    </row>
    <row r="697" spans="9:9">
      <c r="I697" s="122"/>
    </row>
    <row r="698" spans="9:9">
      <c r="I698" s="122"/>
    </row>
    <row r="699" spans="9:9">
      <c r="I699" s="122"/>
    </row>
    <row r="700" spans="9:9">
      <c r="I700" s="122"/>
    </row>
    <row r="701" spans="9:9">
      <c r="I701" s="122"/>
    </row>
    <row r="702" spans="9:9">
      <c r="I702" s="122"/>
    </row>
    <row r="703" spans="9:9">
      <c r="I703" s="122"/>
    </row>
    <row r="704" spans="9:9">
      <c r="I704" s="122"/>
    </row>
    <row r="705" spans="9:9">
      <c r="I705" s="122"/>
    </row>
    <row r="706" spans="9:9">
      <c r="I706" s="122"/>
    </row>
    <row r="707" spans="9:9">
      <c r="I707" s="122"/>
    </row>
    <row r="708" spans="9:9">
      <c r="I708" s="122"/>
    </row>
    <row r="709" spans="9:9">
      <c r="I709" s="122"/>
    </row>
    <row r="710" spans="9:9">
      <c r="I710" s="122"/>
    </row>
    <row r="711" spans="9:9">
      <c r="I711" s="122"/>
    </row>
    <row r="712" spans="9:9">
      <c r="I712" s="122"/>
    </row>
    <row r="713" spans="9:9">
      <c r="I713" s="122"/>
    </row>
    <row r="714" spans="9:9">
      <c r="I714" s="122"/>
    </row>
    <row r="715" spans="9:9">
      <c r="I715" s="122"/>
    </row>
    <row r="716" spans="9:9">
      <c r="I716" s="122"/>
    </row>
    <row r="717" spans="9:9">
      <c r="I717" s="122"/>
    </row>
    <row r="718" spans="9:9">
      <c r="I718" s="122"/>
    </row>
    <row r="719" spans="9:9">
      <c r="I719" s="122"/>
    </row>
    <row r="720" spans="9:9">
      <c r="I720" s="122"/>
    </row>
    <row r="721" spans="9:9">
      <c r="I721" s="122"/>
    </row>
    <row r="722" spans="9:9">
      <c r="I722" s="122"/>
    </row>
    <row r="723" spans="9:9">
      <c r="I723" s="122"/>
    </row>
    <row r="724" spans="9:9">
      <c r="I724" s="122"/>
    </row>
    <row r="725" spans="9:9">
      <c r="I725" s="122"/>
    </row>
    <row r="726" spans="9:9">
      <c r="I726" s="122"/>
    </row>
    <row r="727" spans="9:9">
      <c r="I727" s="122"/>
    </row>
    <row r="728" spans="9:9">
      <c r="I728" s="122"/>
    </row>
    <row r="729" spans="9:9">
      <c r="I729" s="122"/>
    </row>
    <row r="730" spans="9:9">
      <c r="I730" s="122"/>
    </row>
    <row r="731" spans="9:9">
      <c r="I731" s="122"/>
    </row>
    <row r="732" spans="9:9">
      <c r="I732" s="122"/>
    </row>
    <row r="733" spans="9:9">
      <c r="I733" s="122"/>
    </row>
    <row r="734" spans="9:9">
      <c r="I734" s="122"/>
    </row>
    <row r="735" spans="9:9">
      <c r="I735" s="122"/>
    </row>
    <row r="736" spans="9:9">
      <c r="I736" s="122"/>
    </row>
    <row r="737" spans="9:9">
      <c r="I737" s="122"/>
    </row>
    <row r="738" spans="9:9">
      <c r="I738" s="122"/>
    </row>
    <row r="739" spans="9:9">
      <c r="I739" s="122"/>
    </row>
    <row r="740" spans="9:9">
      <c r="I740" s="122"/>
    </row>
    <row r="741" spans="9:9">
      <c r="I741" s="122"/>
    </row>
    <row r="742" spans="9:9">
      <c r="I742" s="122"/>
    </row>
    <row r="743" spans="9:9">
      <c r="I743" s="122"/>
    </row>
    <row r="744" spans="9:9">
      <c r="I744" s="122"/>
    </row>
    <row r="745" spans="9:9">
      <c r="I745" s="122"/>
    </row>
    <row r="746" spans="9:9">
      <c r="I746" s="122"/>
    </row>
    <row r="747" spans="9:9">
      <c r="I747" s="122"/>
    </row>
    <row r="748" spans="9:9">
      <c r="I748" s="122"/>
    </row>
    <row r="749" spans="9:9">
      <c r="I749" s="122"/>
    </row>
    <row r="750" spans="9:9">
      <c r="I750" s="122"/>
    </row>
    <row r="751" spans="9:9">
      <c r="I751" s="122"/>
    </row>
    <row r="752" spans="9:9">
      <c r="I752" s="122"/>
    </row>
    <row r="753" spans="9:9">
      <c r="I753" s="122"/>
    </row>
    <row r="754" spans="9:9">
      <c r="I754" s="122"/>
    </row>
    <row r="755" spans="9:9">
      <c r="I755" s="122"/>
    </row>
    <row r="756" spans="9:9">
      <c r="I756" s="122"/>
    </row>
    <row r="757" spans="9:9">
      <c r="I757" s="122"/>
    </row>
    <row r="758" spans="9:9">
      <c r="I758" s="122"/>
    </row>
    <row r="759" spans="9:9">
      <c r="I759" s="122"/>
    </row>
    <row r="760" spans="9:9">
      <c r="I760" s="122"/>
    </row>
    <row r="761" spans="9:9">
      <c r="I761" s="122"/>
    </row>
    <row r="762" spans="9:9">
      <c r="I762" s="122"/>
    </row>
    <row r="763" spans="9:9">
      <c r="I763" s="122"/>
    </row>
    <row r="764" spans="9:9">
      <c r="I764" s="122"/>
    </row>
    <row r="765" spans="9:9">
      <c r="I765" s="122"/>
    </row>
    <row r="766" spans="9:9">
      <c r="I766" s="122"/>
    </row>
    <row r="767" spans="9:9">
      <c r="I767" s="122"/>
    </row>
    <row r="768" spans="9:9">
      <c r="I768" s="122"/>
    </row>
    <row r="769" spans="9:9">
      <c r="I769" s="122"/>
    </row>
    <row r="770" spans="9:9">
      <c r="I770" s="122"/>
    </row>
    <row r="771" spans="9:9">
      <c r="I771" s="122"/>
    </row>
    <row r="772" spans="9:9">
      <c r="I772" s="122"/>
    </row>
    <row r="773" spans="9:9">
      <c r="I773" s="122"/>
    </row>
    <row r="774" spans="9:9">
      <c r="I774" s="122"/>
    </row>
    <row r="775" spans="9:9">
      <c r="I775" s="122"/>
    </row>
    <row r="776" spans="9:9">
      <c r="I776" s="122"/>
    </row>
    <row r="777" spans="9:9">
      <c r="I777" s="122"/>
    </row>
    <row r="778" spans="9:9">
      <c r="I778" s="122"/>
    </row>
    <row r="779" spans="9:9">
      <c r="I779" s="122"/>
    </row>
    <row r="780" spans="9:9">
      <c r="I780" s="122"/>
    </row>
    <row r="781" spans="9:9">
      <c r="I781" s="122"/>
    </row>
    <row r="782" spans="9:9">
      <c r="I782" s="122"/>
    </row>
    <row r="783" spans="9:9">
      <c r="I783" s="122"/>
    </row>
    <row r="784" spans="9:9">
      <c r="I784" s="122"/>
    </row>
    <row r="785" spans="9:9">
      <c r="I785" s="122"/>
    </row>
    <row r="786" spans="9:9">
      <c r="I786" s="122"/>
    </row>
    <row r="787" spans="9:9">
      <c r="I787" s="122"/>
    </row>
    <row r="788" spans="9:9">
      <c r="I788" s="122"/>
    </row>
    <row r="789" spans="9:9">
      <c r="I789" s="122"/>
    </row>
    <row r="790" spans="9:9">
      <c r="I790" s="122"/>
    </row>
    <row r="791" spans="9:9">
      <c r="I791" s="122"/>
    </row>
    <row r="792" spans="9:9">
      <c r="I792" s="122"/>
    </row>
    <row r="793" spans="9:9">
      <c r="I793" s="122"/>
    </row>
    <row r="794" spans="9:9">
      <c r="I794" s="122"/>
    </row>
    <row r="795" spans="9:9">
      <c r="I795" s="122"/>
    </row>
    <row r="796" spans="9:9">
      <c r="I796" s="122"/>
    </row>
    <row r="797" spans="9:9">
      <c r="I797" s="122"/>
    </row>
    <row r="798" spans="9:9">
      <c r="I798" s="122"/>
    </row>
    <row r="799" spans="9:9">
      <c r="I799" s="122"/>
    </row>
    <row r="800" spans="9:9">
      <c r="I800" s="122"/>
    </row>
    <row r="801" spans="9:9">
      <c r="I801" s="122"/>
    </row>
    <row r="802" spans="9:9">
      <c r="I802" s="122"/>
    </row>
    <row r="803" spans="9:9">
      <c r="I803" s="122"/>
    </row>
    <row r="804" spans="9:9">
      <c r="I804" s="122"/>
    </row>
    <row r="805" spans="9:9">
      <c r="I805" s="122"/>
    </row>
    <row r="806" spans="9:9">
      <c r="I806" s="122"/>
    </row>
    <row r="807" spans="9:9">
      <c r="I807" s="122"/>
    </row>
    <row r="808" spans="9:9">
      <c r="I808" s="122"/>
    </row>
    <row r="809" spans="9:9">
      <c r="I809" s="122"/>
    </row>
    <row r="810" spans="9:9">
      <c r="I810" s="122"/>
    </row>
    <row r="811" spans="9:9">
      <c r="I811" s="122"/>
    </row>
    <row r="812" spans="9:9">
      <c r="I812" s="122"/>
    </row>
    <row r="813" spans="9:9">
      <c r="I813" s="122"/>
    </row>
    <row r="814" spans="9:9">
      <c r="I814" s="122"/>
    </row>
    <row r="815" spans="9:9">
      <c r="I815" s="122"/>
    </row>
    <row r="816" spans="9:9">
      <c r="I816" s="122"/>
    </row>
    <row r="817" spans="9:9">
      <c r="I817" s="122"/>
    </row>
    <row r="818" spans="9:9">
      <c r="I818" s="122"/>
    </row>
    <row r="819" spans="9:9">
      <c r="I819" s="122"/>
    </row>
    <row r="820" spans="9:9">
      <c r="I820" s="122"/>
    </row>
    <row r="821" spans="9:9">
      <c r="I821" s="122"/>
    </row>
    <row r="822" spans="9:9">
      <c r="I822" s="122"/>
    </row>
    <row r="823" spans="9:9">
      <c r="I823" s="122"/>
    </row>
    <row r="824" spans="9:9">
      <c r="I824" s="122"/>
    </row>
    <row r="825" spans="9:9">
      <c r="I825" s="122"/>
    </row>
    <row r="826" spans="9:9">
      <c r="I826" s="122"/>
    </row>
    <row r="827" spans="9:9">
      <c r="I827" s="122"/>
    </row>
    <row r="828" spans="9:9">
      <c r="I828" s="122"/>
    </row>
    <row r="829" spans="9:9">
      <c r="I829" s="122"/>
    </row>
    <row r="830" spans="9:9">
      <c r="I830" s="122"/>
    </row>
    <row r="831" spans="9:9">
      <c r="I831" s="122"/>
    </row>
    <row r="832" spans="9:9">
      <c r="I832" s="122"/>
    </row>
    <row r="833" spans="9:9">
      <c r="I833" s="122"/>
    </row>
    <row r="834" spans="9:9">
      <c r="I834" s="122"/>
    </row>
    <row r="835" spans="9:9">
      <c r="I835" s="122"/>
    </row>
    <row r="836" spans="9:9">
      <c r="I836" s="122"/>
    </row>
    <row r="837" spans="9:9">
      <c r="I837" s="122"/>
    </row>
    <row r="838" spans="9:9">
      <c r="I838" s="122"/>
    </row>
    <row r="839" spans="9:9">
      <c r="I839" s="122"/>
    </row>
    <row r="840" spans="9:9">
      <c r="I840" s="122"/>
    </row>
    <row r="841" spans="9:9">
      <c r="I841" s="122"/>
    </row>
    <row r="842" spans="9:9">
      <c r="I842" s="122"/>
    </row>
    <row r="843" spans="9:9">
      <c r="I843" s="122"/>
    </row>
    <row r="844" spans="9:9">
      <c r="I844" s="122"/>
    </row>
    <row r="845" spans="9:9">
      <c r="I845" s="122"/>
    </row>
    <row r="846" spans="9:9">
      <c r="I846" s="122"/>
    </row>
    <row r="847" spans="9:9">
      <c r="I847" s="122"/>
    </row>
    <row r="848" spans="9:9">
      <c r="I848" s="122"/>
    </row>
    <row r="849" spans="9:9">
      <c r="I849" s="122"/>
    </row>
    <row r="850" spans="9:9">
      <c r="I850" s="122"/>
    </row>
    <row r="851" spans="9:9">
      <c r="I851" s="122"/>
    </row>
    <row r="852" spans="9:9">
      <c r="I852" s="122"/>
    </row>
    <row r="853" spans="9:9">
      <c r="I853" s="122"/>
    </row>
    <row r="854" spans="9:9">
      <c r="I854" s="122"/>
    </row>
    <row r="855" spans="9:9">
      <c r="I855" s="122"/>
    </row>
    <row r="856" spans="9:9">
      <c r="I856" s="122"/>
    </row>
    <row r="857" spans="9:9">
      <c r="I857" s="122"/>
    </row>
    <row r="858" spans="9:9">
      <c r="I858" s="122"/>
    </row>
    <row r="859" spans="9:9">
      <c r="I859" s="122"/>
    </row>
    <row r="860" spans="9:9">
      <c r="I860" s="122"/>
    </row>
    <row r="861" spans="9:9">
      <c r="I861" s="122"/>
    </row>
    <row r="862" spans="9:9">
      <c r="I862" s="122"/>
    </row>
    <row r="863" spans="9:9">
      <c r="I863" s="122"/>
    </row>
    <row r="864" spans="9:9">
      <c r="I864" s="122"/>
    </row>
    <row r="865" spans="9:9">
      <c r="I865" s="122"/>
    </row>
    <row r="866" spans="9:9">
      <c r="I866" s="122"/>
    </row>
    <row r="867" spans="9:9">
      <c r="I867" s="122"/>
    </row>
    <row r="868" spans="9:9">
      <c r="I868" s="122"/>
    </row>
    <row r="869" spans="9:9">
      <c r="I869" s="122"/>
    </row>
    <row r="870" spans="9:9">
      <c r="I870" s="122"/>
    </row>
    <row r="871" spans="9:9">
      <c r="I871" s="122"/>
    </row>
    <row r="872" spans="9:9">
      <c r="I872" s="122"/>
    </row>
    <row r="873" spans="9:9">
      <c r="I873" s="122"/>
    </row>
    <row r="874" spans="9:9">
      <c r="I874" s="122"/>
    </row>
    <row r="875" spans="9:9">
      <c r="I875" s="122"/>
    </row>
    <row r="876" spans="9:9">
      <c r="I876" s="122"/>
    </row>
    <row r="877" spans="9:9">
      <c r="I877" s="122"/>
    </row>
    <row r="878" spans="9:9">
      <c r="I878" s="122"/>
    </row>
    <row r="879" spans="9:9">
      <c r="I879" s="122"/>
    </row>
    <row r="880" spans="9:9">
      <c r="I880" s="122"/>
    </row>
    <row r="881" spans="9:9">
      <c r="I881" s="122"/>
    </row>
    <row r="882" spans="9:9">
      <c r="I882" s="122"/>
    </row>
    <row r="883" spans="9:9">
      <c r="I883" s="122"/>
    </row>
    <row r="884" spans="9:9">
      <c r="I884" s="122"/>
    </row>
    <row r="885" spans="9:9">
      <c r="I885" s="122"/>
    </row>
    <row r="886" spans="9:9">
      <c r="I886" s="122"/>
    </row>
    <row r="887" spans="9:9">
      <c r="I887" s="122"/>
    </row>
    <row r="888" spans="9:9">
      <c r="I888" s="122"/>
    </row>
    <row r="889" spans="9:9">
      <c r="I889" s="122"/>
    </row>
    <row r="890" spans="9:9">
      <c r="I890" s="122"/>
    </row>
    <row r="891" spans="9:9">
      <c r="I891" s="122"/>
    </row>
    <row r="892" spans="9:9">
      <c r="I892" s="122"/>
    </row>
    <row r="893" spans="9:9">
      <c r="I893" s="122"/>
    </row>
    <row r="894" spans="9:9">
      <c r="I894" s="122"/>
    </row>
    <row r="895" spans="9:9">
      <c r="I895" s="122"/>
    </row>
    <row r="896" spans="9:9">
      <c r="I896" s="122"/>
    </row>
    <row r="897" spans="9:9">
      <c r="I897" s="122"/>
    </row>
    <row r="898" spans="9:9">
      <c r="I898" s="122"/>
    </row>
    <row r="899" spans="9:9">
      <c r="I899" s="122"/>
    </row>
    <row r="900" spans="9:9">
      <c r="I900" s="122"/>
    </row>
    <row r="901" spans="9:9">
      <c r="I901" s="122"/>
    </row>
    <row r="902" spans="9:9">
      <c r="I902" s="122"/>
    </row>
    <row r="903" spans="9:9">
      <c r="I903" s="122"/>
    </row>
    <row r="904" spans="9:9">
      <c r="I904" s="122"/>
    </row>
    <row r="905" spans="9:9">
      <c r="I905" s="122"/>
    </row>
    <row r="906" spans="9:9">
      <c r="I906" s="122"/>
    </row>
    <row r="907" spans="9:9">
      <c r="I907" s="122"/>
    </row>
    <row r="908" spans="9:9">
      <c r="I908" s="122"/>
    </row>
    <row r="909" spans="9:9">
      <c r="I909" s="122"/>
    </row>
    <row r="910" spans="9:9">
      <c r="I910" s="122"/>
    </row>
    <row r="911" spans="9:9">
      <c r="I911" s="122"/>
    </row>
    <row r="912" spans="9:9">
      <c r="I912" s="122"/>
    </row>
    <row r="913" spans="9:9">
      <c r="I913" s="122"/>
    </row>
    <row r="914" spans="9:9">
      <c r="I914" s="122"/>
    </row>
    <row r="915" spans="9:9">
      <c r="I915" s="122"/>
    </row>
    <row r="916" spans="9:9">
      <c r="I916" s="122"/>
    </row>
    <row r="917" spans="9:9">
      <c r="I917" s="122"/>
    </row>
    <row r="918" spans="9:9">
      <c r="I918" s="122"/>
    </row>
    <row r="919" spans="9:9">
      <c r="I919" s="122"/>
    </row>
    <row r="920" spans="9:9">
      <c r="I920" s="122"/>
    </row>
    <row r="921" spans="9:9">
      <c r="I921" s="122"/>
    </row>
    <row r="922" spans="9:9">
      <c r="I922" s="122"/>
    </row>
    <row r="923" spans="9:9">
      <c r="I923" s="122"/>
    </row>
    <row r="924" spans="9:9">
      <c r="I924" s="122"/>
    </row>
    <row r="925" spans="9:9">
      <c r="I925" s="122"/>
    </row>
    <row r="926" spans="9:9">
      <c r="I926" s="122"/>
    </row>
    <row r="927" spans="9:9">
      <c r="I927" s="122"/>
    </row>
    <row r="928" spans="9:9">
      <c r="I928" s="122"/>
    </row>
    <row r="929" spans="9:9">
      <c r="I929" s="122"/>
    </row>
    <row r="930" spans="9:9">
      <c r="I930" s="122"/>
    </row>
    <row r="931" spans="9:9">
      <c r="I931" s="122"/>
    </row>
    <row r="932" spans="9:9">
      <c r="I932" s="122"/>
    </row>
    <row r="933" spans="9:9">
      <c r="I933" s="122"/>
    </row>
    <row r="934" spans="9:9">
      <c r="I934" s="122"/>
    </row>
    <row r="935" spans="9:9">
      <c r="I935" s="122"/>
    </row>
    <row r="936" spans="9:9">
      <c r="I936" s="122"/>
    </row>
    <row r="937" spans="9:9">
      <c r="I937" s="122"/>
    </row>
    <row r="938" spans="9:9">
      <c r="I938" s="122"/>
    </row>
    <row r="939" spans="9:9">
      <c r="I939" s="122"/>
    </row>
    <row r="940" spans="9:9">
      <c r="I940" s="122"/>
    </row>
    <row r="941" spans="9:9">
      <c r="I941" s="122"/>
    </row>
    <row r="942" spans="9:9">
      <c r="I942" s="122"/>
    </row>
    <row r="943" spans="9:9">
      <c r="I943" s="122"/>
    </row>
    <row r="944" spans="9:9">
      <c r="I944" s="122"/>
    </row>
    <row r="945" spans="9:9">
      <c r="I945" s="122"/>
    </row>
    <row r="946" spans="9:9">
      <c r="I946" s="122"/>
    </row>
    <row r="947" spans="9:9">
      <c r="I947" s="122"/>
    </row>
    <row r="948" spans="9:9">
      <c r="I948" s="122"/>
    </row>
    <row r="949" spans="9:9">
      <c r="I949" s="122"/>
    </row>
    <row r="950" spans="9:9">
      <c r="I950" s="122"/>
    </row>
    <row r="951" spans="9:9">
      <c r="I951" s="122"/>
    </row>
    <row r="952" spans="9:9">
      <c r="I952" s="122"/>
    </row>
    <row r="953" spans="9:9">
      <c r="I953" s="122"/>
    </row>
    <row r="954" spans="9:9">
      <c r="I954" s="122"/>
    </row>
    <row r="955" spans="9:9">
      <c r="I955" s="122"/>
    </row>
    <row r="956" spans="9:9">
      <c r="I956" s="122"/>
    </row>
    <row r="957" spans="9:9">
      <c r="I957" s="122"/>
    </row>
    <row r="958" spans="9:9">
      <c r="I958" s="122"/>
    </row>
    <row r="959" spans="9:9">
      <c r="I959" s="122"/>
    </row>
    <row r="960" spans="9:9">
      <c r="I960" s="122"/>
    </row>
    <row r="961" spans="9:9">
      <c r="I961" s="122"/>
    </row>
    <row r="962" spans="9:9">
      <c r="I962" s="122"/>
    </row>
    <row r="963" spans="9:9">
      <c r="I963" s="122"/>
    </row>
    <row r="964" spans="9:9">
      <c r="I964" s="122"/>
    </row>
    <row r="965" spans="9:9">
      <c r="I965" s="122"/>
    </row>
    <row r="966" spans="9:9">
      <c r="I966" s="122"/>
    </row>
    <row r="967" spans="9:9">
      <c r="I967" s="122"/>
    </row>
    <row r="968" spans="9:9">
      <c r="I968" s="122"/>
    </row>
    <row r="969" spans="9:9">
      <c r="I969" s="122"/>
    </row>
    <row r="970" spans="9:9">
      <c r="I970" s="122"/>
    </row>
    <row r="971" spans="9:9">
      <c r="I971" s="122"/>
    </row>
    <row r="972" spans="9:9">
      <c r="I972" s="122"/>
    </row>
    <row r="973" spans="9:9">
      <c r="I973" s="122"/>
    </row>
    <row r="974" spans="9:9">
      <c r="I974" s="122"/>
    </row>
    <row r="975" spans="9:9">
      <c r="I975" s="122"/>
    </row>
    <row r="976" spans="9:9">
      <c r="I976" s="122"/>
    </row>
    <row r="977" spans="9:9">
      <c r="I977" s="122"/>
    </row>
    <row r="978" spans="9:9">
      <c r="I978" s="122"/>
    </row>
    <row r="979" spans="9:9">
      <c r="I979" s="122"/>
    </row>
    <row r="980" spans="9:9">
      <c r="I980" s="122"/>
    </row>
    <row r="981" spans="9:9">
      <c r="I981" s="122"/>
    </row>
    <row r="982" spans="9:9">
      <c r="I982" s="122"/>
    </row>
    <row r="983" spans="9:9">
      <c r="I983" s="122"/>
    </row>
    <row r="984" spans="9:9">
      <c r="I984" s="122"/>
    </row>
    <row r="985" spans="9:9">
      <c r="I985" s="122"/>
    </row>
    <row r="986" spans="9:9">
      <c r="I986" s="122"/>
    </row>
    <row r="987" spans="9:9">
      <c r="I987" s="122"/>
    </row>
    <row r="988" spans="9:9">
      <c r="I988" s="122"/>
    </row>
    <row r="989" spans="9:9">
      <c r="I989" s="122"/>
    </row>
    <row r="990" spans="9:9">
      <c r="I990" s="122"/>
    </row>
    <row r="991" spans="9:9">
      <c r="I991" s="122"/>
    </row>
    <row r="992" spans="9:9">
      <c r="I992" s="122"/>
    </row>
    <row r="993" spans="9:9">
      <c r="I993" s="122"/>
    </row>
    <row r="994" spans="9:9">
      <c r="I994" s="122"/>
    </row>
    <row r="995" spans="9:9">
      <c r="I995" s="122"/>
    </row>
    <row r="996" spans="9:9">
      <c r="I996" s="122"/>
    </row>
    <row r="997" spans="9:9">
      <c r="I997" s="122"/>
    </row>
    <row r="998" spans="9:9">
      <c r="I998" s="122"/>
    </row>
    <row r="999" spans="9:9">
      <c r="I999" s="122"/>
    </row>
    <row r="1000" spans="9:9">
      <c r="I1000" s="122"/>
    </row>
    <row r="1001" spans="9:9">
      <c r="I1001" s="122"/>
    </row>
    <row r="1002" spans="9:9">
      <c r="I1002" s="122"/>
    </row>
    <row r="1003" spans="9:9">
      <c r="I1003" s="122"/>
    </row>
    <row r="1004" spans="9:9">
      <c r="I1004" s="122"/>
    </row>
    <row r="1005" spans="9:9">
      <c r="I1005" s="122"/>
    </row>
    <row r="1006" spans="9:9">
      <c r="I1006" s="122"/>
    </row>
    <row r="1007" spans="9:9">
      <c r="I1007" s="122"/>
    </row>
    <row r="1008" spans="9:9">
      <c r="I1008" s="122"/>
    </row>
    <row r="1009" spans="9:9">
      <c r="I1009" s="122"/>
    </row>
    <row r="1010" spans="9:9">
      <c r="I1010" s="122"/>
    </row>
    <row r="1011" spans="9:9">
      <c r="I1011" s="122"/>
    </row>
    <row r="1012" spans="9:9">
      <c r="I1012" s="122"/>
    </row>
    <row r="1013" spans="9:9">
      <c r="I1013" s="122"/>
    </row>
    <row r="1014" spans="9:9">
      <c r="I1014" s="122"/>
    </row>
    <row r="1015" spans="9:9">
      <c r="I1015" s="122"/>
    </row>
    <row r="1016" spans="9:9">
      <c r="I1016" s="122"/>
    </row>
    <row r="1017" spans="9:9">
      <c r="I1017" s="122"/>
    </row>
    <row r="1018" spans="9:9">
      <c r="I1018" s="122"/>
    </row>
    <row r="1019" spans="9:9">
      <c r="I1019" s="122"/>
    </row>
    <row r="1020" spans="9:9">
      <c r="I1020" s="122"/>
    </row>
    <row r="1021" spans="9:9">
      <c r="I1021" s="122"/>
    </row>
    <row r="1022" spans="9:9">
      <c r="I1022" s="122"/>
    </row>
    <row r="1023" spans="9:9">
      <c r="I1023" s="122"/>
    </row>
    <row r="1024" spans="9:9">
      <c r="I1024" s="122"/>
    </row>
    <row r="1025" spans="9:9">
      <c r="I1025" s="122"/>
    </row>
    <row r="1026" spans="9:9">
      <c r="I1026" s="122"/>
    </row>
    <row r="1027" spans="9:9">
      <c r="I1027" s="122"/>
    </row>
    <row r="1028" spans="9:9">
      <c r="I1028" s="122"/>
    </row>
    <row r="1029" spans="9:9">
      <c r="I1029" s="122"/>
    </row>
    <row r="1030" spans="9:9">
      <c r="I1030" s="122"/>
    </row>
    <row r="1031" spans="9:9">
      <c r="I1031" s="122"/>
    </row>
    <row r="1032" spans="9:9">
      <c r="I1032" s="122"/>
    </row>
    <row r="1033" spans="9:9">
      <c r="I1033" s="122"/>
    </row>
    <row r="1034" spans="9:9">
      <c r="I1034" s="122"/>
    </row>
    <row r="1035" spans="9:9">
      <c r="I1035" s="122"/>
    </row>
    <row r="1036" spans="9:9">
      <c r="I1036" s="122"/>
    </row>
    <row r="1037" spans="9:9">
      <c r="I1037" s="122"/>
    </row>
    <row r="1038" spans="9:9">
      <c r="I1038" s="122"/>
    </row>
    <row r="1039" spans="9:9">
      <c r="I1039" s="122"/>
    </row>
    <row r="1040" spans="9:9">
      <c r="I1040" s="122"/>
    </row>
    <row r="1041" spans="9:9">
      <c r="I1041" s="122"/>
    </row>
    <row r="1042" spans="9:9">
      <c r="I1042" s="122"/>
    </row>
    <row r="1043" spans="9:9">
      <c r="I1043" s="122"/>
    </row>
    <row r="1044" spans="9:9">
      <c r="I1044" s="122"/>
    </row>
    <row r="1045" spans="9:9">
      <c r="I1045" s="122"/>
    </row>
    <row r="1046" spans="9:9">
      <c r="I1046" s="122"/>
    </row>
    <row r="1047" spans="9:9">
      <c r="I1047" s="122"/>
    </row>
    <row r="1048" spans="9:9">
      <c r="I1048" s="122"/>
    </row>
    <row r="1049" spans="9:9">
      <c r="I1049" s="122"/>
    </row>
    <row r="1050" spans="9:9">
      <c r="I1050" s="122"/>
    </row>
    <row r="1051" spans="9:9">
      <c r="I1051" s="122"/>
    </row>
    <row r="1052" spans="9:9">
      <c r="I1052" s="122"/>
    </row>
    <row r="1053" spans="9:9">
      <c r="I1053" s="122"/>
    </row>
    <row r="1054" spans="9:9">
      <c r="I1054" s="122"/>
    </row>
    <row r="1055" spans="9:9">
      <c r="I1055" s="122"/>
    </row>
    <row r="1056" spans="9:9">
      <c r="I1056" s="122"/>
    </row>
    <row r="1057" spans="9:9">
      <c r="I1057" s="122"/>
    </row>
    <row r="1058" spans="9:9">
      <c r="I1058" s="122"/>
    </row>
    <row r="1059" spans="9:9">
      <c r="I1059" s="122"/>
    </row>
    <row r="1060" spans="9:9">
      <c r="I1060" s="122"/>
    </row>
    <row r="1061" spans="9:9">
      <c r="I1061" s="122"/>
    </row>
    <row r="1062" spans="9:9">
      <c r="I1062" s="122"/>
    </row>
    <row r="1063" spans="9:9">
      <c r="I1063" s="122"/>
    </row>
    <row r="1064" spans="9:9">
      <c r="I1064" s="122"/>
    </row>
    <row r="1065" spans="9:9">
      <c r="I1065" s="122"/>
    </row>
    <row r="1066" spans="9:9">
      <c r="I1066" s="122"/>
    </row>
    <row r="1067" spans="9:9">
      <c r="I1067" s="122"/>
    </row>
    <row r="1068" spans="9:9">
      <c r="I1068" s="122"/>
    </row>
    <row r="1069" spans="9:9">
      <c r="I1069" s="122"/>
    </row>
    <row r="1070" spans="9:9">
      <c r="I1070" s="122"/>
    </row>
    <row r="1071" spans="9:9">
      <c r="I1071" s="122"/>
    </row>
    <row r="1072" spans="9:9">
      <c r="I1072" s="122"/>
    </row>
    <row r="1073" spans="9:9">
      <c r="I1073" s="122"/>
    </row>
    <row r="1074" spans="9:9">
      <c r="I1074" s="122"/>
    </row>
    <row r="1075" spans="9:9">
      <c r="I1075" s="122"/>
    </row>
    <row r="1076" spans="9:9">
      <c r="I1076" s="122"/>
    </row>
    <row r="1077" spans="9:9">
      <c r="I1077" s="122"/>
    </row>
    <row r="1078" spans="9:9">
      <c r="I1078" s="122"/>
    </row>
    <row r="1079" spans="9:9">
      <c r="I1079" s="122"/>
    </row>
    <row r="1080" spans="9:9">
      <c r="I1080" s="122"/>
    </row>
    <row r="1081" spans="9:9">
      <c r="I1081" s="122"/>
    </row>
    <row r="1082" spans="9:9">
      <c r="I1082" s="122"/>
    </row>
    <row r="1083" spans="9:9">
      <c r="I1083" s="122"/>
    </row>
    <row r="1084" spans="9:9">
      <c r="I1084" s="122"/>
    </row>
    <row r="1085" spans="9:9">
      <c r="I1085" s="122"/>
    </row>
    <row r="1086" spans="9:9">
      <c r="I1086" s="122"/>
    </row>
    <row r="1087" spans="9:9">
      <c r="I1087" s="122"/>
    </row>
    <row r="1088" spans="9:9">
      <c r="I1088" s="122"/>
    </row>
    <row r="1089" spans="9:9">
      <c r="I1089" s="122"/>
    </row>
    <row r="1090" spans="9:9">
      <c r="I1090" s="122"/>
    </row>
    <row r="1091" spans="9:9">
      <c r="I1091" s="122"/>
    </row>
    <row r="1092" spans="9:9">
      <c r="I1092" s="122"/>
    </row>
    <row r="1093" spans="9:9">
      <c r="I1093" s="122"/>
    </row>
    <row r="1094" spans="9:9">
      <c r="I1094" s="122"/>
    </row>
    <row r="1095" spans="9:9">
      <c r="I1095" s="122"/>
    </row>
    <row r="1096" spans="9:9">
      <c r="I1096" s="122"/>
    </row>
    <row r="1097" spans="9:9">
      <c r="I1097" s="122"/>
    </row>
    <row r="1098" spans="9:9">
      <c r="I1098" s="122"/>
    </row>
    <row r="1099" spans="9:9">
      <c r="I1099" s="122"/>
    </row>
    <row r="1100" spans="9:9">
      <c r="I1100" s="122"/>
    </row>
    <row r="1101" spans="9:9">
      <c r="I1101" s="122"/>
    </row>
    <row r="1102" spans="9:9">
      <c r="I1102" s="122"/>
    </row>
    <row r="1103" spans="9:9">
      <c r="I1103" s="122"/>
    </row>
    <row r="1104" spans="9:9">
      <c r="I1104" s="122"/>
    </row>
    <row r="1105" spans="9:9">
      <c r="I1105" s="122"/>
    </row>
    <row r="1106" spans="9:9">
      <c r="I1106" s="122"/>
    </row>
    <row r="1107" spans="9:9">
      <c r="I1107" s="122"/>
    </row>
    <row r="1108" spans="9:9">
      <c r="I1108" s="122"/>
    </row>
    <row r="1109" spans="9:9">
      <c r="I1109" s="122"/>
    </row>
    <row r="1110" spans="9:9">
      <c r="I1110" s="122"/>
    </row>
    <row r="1111" spans="9:9">
      <c r="I1111" s="122"/>
    </row>
    <row r="1112" spans="9:9">
      <c r="I1112" s="122"/>
    </row>
    <row r="1113" spans="9:9">
      <c r="I1113" s="122"/>
    </row>
    <row r="1114" spans="9:9">
      <c r="I1114" s="122"/>
    </row>
    <row r="1115" spans="9:9">
      <c r="I1115" s="122"/>
    </row>
    <row r="1116" spans="9:9">
      <c r="I1116" s="122"/>
    </row>
    <row r="1117" spans="9:9">
      <c r="I1117" s="122"/>
    </row>
    <row r="1118" spans="9:9">
      <c r="I1118" s="122"/>
    </row>
    <row r="1119" spans="9:9">
      <c r="I1119" s="122"/>
    </row>
    <row r="1120" spans="9:9">
      <c r="I1120" s="122"/>
    </row>
    <row r="1121" spans="9:9">
      <c r="I1121" s="122"/>
    </row>
    <row r="1122" spans="9:9">
      <c r="I1122" s="122"/>
    </row>
    <row r="1123" spans="9:9">
      <c r="I1123" s="122"/>
    </row>
    <row r="1124" spans="9:9">
      <c r="I1124" s="122"/>
    </row>
    <row r="1125" spans="9:9">
      <c r="I1125" s="122"/>
    </row>
    <row r="1126" spans="9:9">
      <c r="I1126" s="122"/>
    </row>
    <row r="1127" spans="9:9">
      <c r="I1127" s="122"/>
    </row>
    <row r="1128" spans="9:9">
      <c r="I1128" s="122"/>
    </row>
    <row r="1129" spans="9:9">
      <c r="I1129" s="122"/>
    </row>
    <row r="1130" spans="9:9">
      <c r="I1130" s="122"/>
    </row>
    <row r="1131" spans="9:9">
      <c r="I1131" s="122"/>
    </row>
    <row r="1132" spans="9:9">
      <c r="I1132" s="122"/>
    </row>
    <row r="1133" spans="9:9">
      <c r="I1133" s="122"/>
    </row>
    <row r="1134" spans="9:9">
      <c r="I1134" s="122"/>
    </row>
    <row r="1135" spans="9:9">
      <c r="I1135" s="122"/>
    </row>
    <row r="1136" spans="9:9">
      <c r="I1136" s="122"/>
    </row>
    <row r="1137" spans="9:9">
      <c r="I1137" s="122"/>
    </row>
    <row r="1138" spans="9:9">
      <c r="I1138" s="122"/>
    </row>
    <row r="1139" spans="9:9">
      <c r="I1139" s="122"/>
    </row>
    <row r="1140" spans="9:9">
      <c r="I1140" s="122"/>
    </row>
    <row r="1141" spans="9:9">
      <c r="I1141" s="122"/>
    </row>
    <row r="1142" spans="9:9">
      <c r="I1142" s="122"/>
    </row>
    <row r="1143" spans="9:9">
      <c r="I1143" s="122"/>
    </row>
    <row r="1144" spans="9:9">
      <c r="I1144" s="122"/>
    </row>
    <row r="1145" spans="9:9">
      <c r="I1145" s="122"/>
    </row>
    <row r="1146" spans="9:9">
      <c r="I1146" s="122"/>
    </row>
    <row r="1147" spans="9:9">
      <c r="I1147" s="122"/>
    </row>
    <row r="1148" spans="9:9">
      <c r="I1148" s="122"/>
    </row>
    <row r="1149" spans="9:9">
      <c r="I1149" s="122"/>
    </row>
    <row r="1150" spans="9:9">
      <c r="I1150" s="122"/>
    </row>
    <row r="1151" spans="9:9">
      <c r="I1151" s="122"/>
    </row>
    <row r="1152" spans="9:9">
      <c r="I1152" s="122"/>
    </row>
    <row r="1153" spans="9:9">
      <c r="I1153" s="122"/>
    </row>
    <row r="1154" spans="9:9">
      <c r="I1154" s="122"/>
    </row>
    <row r="1155" spans="9:9">
      <c r="I1155" s="122"/>
    </row>
    <row r="1156" spans="9:9">
      <c r="I1156" s="122"/>
    </row>
    <row r="1157" spans="9:9">
      <c r="I1157" s="122"/>
    </row>
    <row r="1158" spans="9:9">
      <c r="I1158" s="122"/>
    </row>
    <row r="1159" spans="9:9">
      <c r="I1159" s="122"/>
    </row>
    <row r="1160" spans="9:9">
      <c r="I1160" s="122"/>
    </row>
    <row r="1161" spans="9:9">
      <c r="I1161" s="122"/>
    </row>
    <row r="1162" spans="9:9">
      <c r="I1162" s="122"/>
    </row>
    <row r="1163" spans="9:9">
      <c r="I1163" s="122"/>
    </row>
    <row r="1164" spans="9:9">
      <c r="I1164" s="122"/>
    </row>
    <row r="1165" spans="9:9">
      <c r="I1165" s="122"/>
    </row>
    <row r="1166" spans="9:9">
      <c r="I1166" s="122"/>
    </row>
    <row r="1167" spans="9:9">
      <c r="I1167" s="122"/>
    </row>
    <row r="1168" spans="9:9">
      <c r="I1168" s="122"/>
    </row>
    <row r="1169" spans="9:9">
      <c r="I1169" s="122"/>
    </row>
    <row r="1170" spans="9:9">
      <c r="I1170" s="122"/>
    </row>
    <row r="1171" spans="9:9">
      <c r="I1171" s="122"/>
    </row>
    <row r="1172" spans="9:9">
      <c r="I1172" s="122"/>
    </row>
    <row r="1173" spans="9:9">
      <c r="I1173" s="122"/>
    </row>
    <row r="1174" spans="9:9">
      <c r="I1174" s="122"/>
    </row>
    <row r="1175" spans="9:9">
      <c r="I1175" s="122"/>
    </row>
    <row r="1176" spans="9:9">
      <c r="I1176" s="122"/>
    </row>
    <row r="1177" spans="9:9">
      <c r="I1177" s="122"/>
    </row>
    <row r="1178" spans="9:9">
      <c r="I1178" s="122"/>
    </row>
    <row r="1179" spans="9:9">
      <c r="I1179" s="122"/>
    </row>
    <row r="1180" spans="9:9">
      <c r="I1180" s="122"/>
    </row>
    <row r="1181" spans="9:9">
      <c r="I1181" s="122"/>
    </row>
    <row r="1182" spans="9:9">
      <c r="I1182" s="122"/>
    </row>
    <row r="1183" spans="9:9">
      <c r="I1183" s="122"/>
    </row>
    <row r="1184" spans="9:9">
      <c r="I1184" s="122"/>
    </row>
    <row r="1185" spans="9:9">
      <c r="I1185" s="122"/>
    </row>
    <row r="1186" spans="9:9">
      <c r="I1186" s="122"/>
    </row>
    <row r="1187" spans="9:9">
      <c r="I1187" s="122"/>
    </row>
    <row r="1188" spans="9:9">
      <c r="I1188" s="122"/>
    </row>
    <row r="1189" spans="9:9">
      <c r="I1189" s="122"/>
    </row>
    <row r="1190" spans="9:9">
      <c r="I1190" s="122"/>
    </row>
    <row r="1191" spans="9:9">
      <c r="I1191" s="122"/>
    </row>
    <row r="1192" spans="9:9">
      <c r="I1192" s="122"/>
    </row>
    <row r="1193" spans="9:9">
      <c r="I1193" s="122"/>
    </row>
    <row r="1194" spans="9:9">
      <c r="I1194" s="122"/>
    </row>
    <row r="1195" spans="9:9">
      <c r="I1195" s="122"/>
    </row>
    <row r="1196" spans="9:9">
      <c r="I1196" s="122"/>
    </row>
    <row r="1197" spans="9:9">
      <c r="I1197" s="122"/>
    </row>
    <row r="1198" spans="9:9">
      <c r="I1198" s="122"/>
    </row>
    <row r="1199" spans="9:9">
      <c r="I1199" s="122"/>
    </row>
    <row r="1200" spans="9:9">
      <c r="I1200" s="122"/>
    </row>
    <row r="1201" spans="9:9">
      <c r="I1201" s="122"/>
    </row>
    <row r="1202" spans="9:9">
      <c r="I1202" s="122"/>
    </row>
    <row r="1203" spans="9:9">
      <c r="I1203" s="122"/>
    </row>
    <row r="1204" spans="9:9">
      <c r="I1204" s="122"/>
    </row>
    <row r="1205" spans="9:9">
      <c r="I1205" s="122"/>
    </row>
    <row r="1206" spans="9:9">
      <c r="I1206" s="122"/>
    </row>
    <row r="1207" spans="9:9">
      <c r="I1207" s="122"/>
    </row>
    <row r="1208" spans="9:9">
      <c r="I1208" s="122"/>
    </row>
    <row r="1209" spans="9:9">
      <c r="I1209" s="122"/>
    </row>
    <row r="1210" spans="9:9">
      <c r="I1210" s="122"/>
    </row>
    <row r="1211" spans="9:9">
      <c r="I1211" s="122"/>
    </row>
    <row r="1212" spans="9:9">
      <c r="I1212" s="122"/>
    </row>
    <row r="1213" spans="9:9">
      <c r="I1213" s="122"/>
    </row>
    <row r="1214" spans="9:9">
      <c r="I1214" s="122"/>
    </row>
    <row r="1215" spans="9:9">
      <c r="I1215" s="122"/>
    </row>
    <row r="1216" spans="9:9">
      <c r="I1216" s="122"/>
    </row>
    <row r="1217" spans="9:9">
      <c r="I1217" s="122"/>
    </row>
    <row r="1218" spans="9:9">
      <c r="I1218" s="122"/>
    </row>
    <row r="1219" spans="9:9">
      <c r="I1219" s="122"/>
    </row>
    <row r="1220" spans="9:9">
      <c r="I1220" s="122"/>
    </row>
    <row r="1221" spans="9:9">
      <c r="I1221" s="122"/>
    </row>
    <row r="1222" spans="9:9">
      <c r="I1222" s="122"/>
    </row>
    <row r="1223" spans="9:9">
      <c r="I1223" s="122"/>
    </row>
    <row r="1224" spans="9:9">
      <c r="I1224" s="122"/>
    </row>
    <row r="1225" spans="9:9">
      <c r="I1225" s="122"/>
    </row>
    <row r="1226" spans="9:9">
      <c r="I1226" s="122"/>
    </row>
    <row r="1227" spans="9:9">
      <c r="I1227" s="122"/>
    </row>
    <row r="1228" spans="9:9">
      <c r="I1228" s="122"/>
    </row>
    <row r="1229" spans="9:9">
      <c r="I1229" s="122"/>
    </row>
    <row r="1230" spans="9:9">
      <c r="I1230" s="122"/>
    </row>
    <row r="1231" spans="9:9">
      <c r="I1231" s="122"/>
    </row>
    <row r="1232" spans="9:9">
      <c r="I1232" s="122"/>
    </row>
    <row r="1233" spans="9:9">
      <c r="I1233" s="122"/>
    </row>
    <row r="1234" spans="9:9">
      <c r="I1234" s="122"/>
    </row>
    <row r="1235" spans="9:9">
      <c r="I1235" s="122"/>
    </row>
    <row r="1236" spans="9:9">
      <c r="I1236" s="122"/>
    </row>
    <row r="1237" spans="9:9">
      <c r="I1237" s="122"/>
    </row>
    <row r="1238" spans="9:9">
      <c r="I1238" s="122"/>
    </row>
    <row r="1239" spans="9:9">
      <c r="I1239" s="122"/>
    </row>
    <row r="1240" spans="9:9">
      <c r="I1240" s="122"/>
    </row>
    <row r="1241" spans="9:9">
      <c r="I1241" s="122"/>
    </row>
    <row r="1242" spans="9:9">
      <c r="I1242" s="122"/>
    </row>
    <row r="1243" spans="9:9">
      <c r="I1243" s="122"/>
    </row>
    <row r="1244" spans="9:9">
      <c r="I1244" s="122"/>
    </row>
    <row r="1245" spans="9:9">
      <c r="I1245" s="122"/>
    </row>
    <row r="1246" spans="9:9">
      <c r="I1246" s="122"/>
    </row>
    <row r="1247" spans="9:9">
      <c r="I1247" s="122"/>
    </row>
    <row r="1248" spans="9:9">
      <c r="I1248" s="122"/>
    </row>
    <row r="1249" spans="9:9">
      <c r="I1249" s="122"/>
    </row>
    <row r="1250" spans="9:9">
      <c r="I1250" s="122"/>
    </row>
    <row r="1251" spans="9:9">
      <c r="I1251" s="122"/>
    </row>
    <row r="1252" spans="9:9">
      <c r="I1252" s="122"/>
    </row>
    <row r="1253" spans="9:9">
      <c r="I1253" s="122"/>
    </row>
    <row r="1254" spans="9:9">
      <c r="I1254" s="122"/>
    </row>
    <row r="1255" spans="9:9">
      <c r="I1255" s="122"/>
    </row>
    <row r="1256" spans="9:9">
      <c r="I1256" s="122"/>
    </row>
    <row r="1257" spans="9:9">
      <c r="I1257" s="122"/>
    </row>
    <row r="1258" spans="9:9">
      <c r="I1258" s="122"/>
    </row>
    <row r="1259" spans="9:9">
      <c r="I1259" s="122"/>
    </row>
    <row r="1260" spans="9:9">
      <c r="I1260" s="122"/>
    </row>
    <row r="1261" spans="9:9">
      <c r="I1261" s="122"/>
    </row>
    <row r="1262" spans="9:9">
      <c r="I1262" s="122"/>
    </row>
    <row r="1263" spans="9:9">
      <c r="I1263" s="122"/>
    </row>
    <row r="1264" spans="9:9">
      <c r="I1264" s="122"/>
    </row>
    <row r="1265" spans="9:9">
      <c r="I1265" s="122"/>
    </row>
    <row r="1266" spans="9:9">
      <c r="I1266" s="122"/>
    </row>
    <row r="1267" spans="9:9">
      <c r="I1267" s="122"/>
    </row>
    <row r="1268" spans="9:9">
      <c r="I1268" s="122"/>
    </row>
    <row r="1269" spans="9:9">
      <c r="I1269" s="122"/>
    </row>
    <row r="1270" spans="9:9">
      <c r="I1270" s="122"/>
    </row>
    <row r="1271" spans="9:9">
      <c r="I1271" s="122"/>
    </row>
    <row r="1272" spans="9:9">
      <c r="I1272" s="122"/>
    </row>
    <row r="1273" spans="9:9">
      <c r="I1273" s="122"/>
    </row>
    <row r="1274" spans="9:9">
      <c r="I1274" s="122"/>
    </row>
    <row r="1275" spans="9:9">
      <c r="I1275" s="122"/>
    </row>
    <row r="1276" spans="9:9">
      <c r="I1276" s="122"/>
    </row>
    <row r="1277" spans="9:9">
      <c r="I1277" s="122"/>
    </row>
    <row r="1278" spans="9:9">
      <c r="I1278" s="122"/>
    </row>
    <row r="1279" spans="9:9">
      <c r="I1279" s="122"/>
    </row>
    <row r="1280" spans="9:9">
      <c r="I1280" s="122"/>
    </row>
    <row r="1281" spans="9:9">
      <c r="I1281" s="122"/>
    </row>
    <row r="1282" spans="9:9">
      <c r="I1282" s="122"/>
    </row>
    <row r="1283" spans="9:9">
      <c r="I1283" s="122"/>
    </row>
    <row r="1284" spans="9:9">
      <c r="I1284" s="122"/>
    </row>
    <row r="1285" spans="9:9">
      <c r="I1285" s="122"/>
    </row>
    <row r="1286" spans="9:9">
      <c r="I1286" s="122"/>
    </row>
    <row r="1287" spans="9:9">
      <c r="I1287" s="122"/>
    </row>
    <row r="1288" spans="9:9">
      <c r="I1288" s="122"/>
    </row>
    <row r="1289" spans="9:9">
      <c r="I1289" s="122"/>
    </row>
    <row r="1290" spans="9:9">
      <c r="I1290" s="122"/>
    </row>
    <row r="1291" spans="9:9">
      <c r="I1291" s="122"/>
    </row>
    <row r="1292" spans="9:9">
      <c r="I1292" s="122"/>
    </row>
    <row r="1293" spans="9:9">
      <c r="I1293" s="122"/>
    </row>
    <row r="1294" spans="9:9">
      <c r="I1294" s="122"/>
    </row>
    <row r="1295" spans="9:9">
      <c r="I1295" s="122"/>
    </row>
    <row r="1296" spans="9:9">
      <c r="I1296" s="122"/>
    </row>
    <row r="1297" spans="9:9">
      <c r="I1297" s="122"/>
    </row>
    <row r="1298" spans="9:9">
      <c r="I1298" s="122"/>
    </row>
    <row r="1299" spans="9:9">
      <c r="I1299" s="122"/>
    </row>
    <row r="1300" spans="9:9">
      <c r="I1300" s="122"/>
    </row>
    <row r="1301" spans="9:9">
      <c r="I1301" s="122"/>
    </row>
    <row r="1302" spans="9:9">
      <c r="I1302" s="122"/>
    </row>
    <row r="1303" spans="9:9">
      <c r="I1303" s="122"/>
    </row>
    <row r="1304" spans="9:9">
      <c r="I1304" s="122"/>
    </row>
    <row r="1305" spans="9:9">
      <c r="I1305" s="122"/>
    </row>
    <row r="1306" spans="9:9">
      <c r="I1306" s="122"/>
    </row>
    <row r="1307" spans="9:9">
      <c r="I1307" s="122"/>
    </row>
    <row r="1308" spans="9:9">
      <c r="I1308" s="122"/>
    </row>
    <row r="1309" spans="9:9">
      <c r="I1309" s="122"/>
    </row>
    <row r="1310" spans="9:9">
      <c r="I1310" s="122"/>
    </row>
    <row r="1311" spans="9:9">
      <c r="I1311" s="122"/>
    </row>
    <row r="1312" spans="9:9">
      <c r="I1312" s="122"/>
    </row>
    <row r="1313" spans="9:9">
      <c r="I1313" s="122"/>
    </row>
    <row r="1314" spans="9:9">
      <c r="I1314" s="122"/>
    </row>
    <row r="1315" spans="9:9">
      <c r="I1315" s="122"/>
    </row>
    <row r="1316" spans="9:9">
      <c r="I1316" s="122"/>
    </row>
    <row r="1317" spans="9:9">
      <c r="I1317" s="122"/>
    </row>
    <row r="1318" spans="9:9">
      <c r="I1318" s="122"/>
    </row>
    <row r="1319" spans="9:9">
      <c r="I1319" s="122"/>
    </row>
    <row r="1320" spans="9:9">
      <c r="I1320" s="122"/>
    </row>
    <row r="1321" spans="9:9">
      <c r="I1321" s="122"/>
    </row>
    <row r="1322" spans="9:9">
      <c r="I1322" s="122"/>
    </row>
    <row r="1323" spans="9:9">
      <c r="I1323" s="122"/>
    </row>
    <row r="1324" spans="9:9">
      <c r="I1324" s="122"/>
    </row>
    <row r="1325" spans="9:9">
      <c r="I1325" s="122"/>
    </row>
    <row r="1326" spans="9:9">
      <c r="I1326" s="122"/>
    </row>
    <row r="1327" spans="9:9">
      <c r="I1327" s="122"/>
    </row>
    <row r="1328" spans="9:9">
      <c r="I1328" s="122"/>
    </row>
    <row r="1329" spans="9:9">
      <c r="I1329" s="122"/>
    </row>
    <row r="1330" spans="9:9">
      <c r="I1330" s="122"/>
    </row>
    <row r="1331" spans="9:9">
      <c r="I1331" s="122"/>
    </row>
    <row r="1332" spans="9:9">
      <c r="I1332" s="122"/>
    </row>
    <row r="1333" spans="9:9">
      <c r="I1333" s="122"/>
    </row>
    <row r="1334" spans="9:9">
      <c r="I1334" s="122"/>
    </row>
    <row r="1335" spans="9:9">
      <c r="I1335" s="122"/>
    </row>
    <row r="1336" spans="9:9">
      <c r="I1336" s="122"/>
    </row>
    <row r="1337" spans="9:9">
      <c r="I1337" s="122"/>
    </row>
    <row r="1338" spans="9:9">
      <c r="I1338" s="122"/>
    </row>
    <row r="1339" spans="9:9">
      <c r="I1339" s="122"/>
    </row>
    <row r="1340" spans="9:9">
      <c r="I1340" s="122"/>
    </row>
    <row r="1341" spans="9:9">
      <c r="I1341" s="122"/>
    </row>
    <row r="1342" spans="9:9">
      <c r="I1342" s="122"/>
    </row>
    <row r="1343" spans="9:9">
      <c r="I1343" s="122"/>
    </row>
    <row r="1344" spans="9:9">
      <c r="I1344" s="122"/>
    </row>
    <row r="1345" spans="9:9">
      <c r="I1345" s="122"/>
    </row>
    <row r="1346" spans="9:9">
      <c r="I1346" s="122"/>
    </row>
    <row r="1347" spans="9:9">
      <c r="I1347" s="122"/>
    </row>
    <row r="1348" spans="9:9">
      <c r="I1348" s="122"/>
    </row>
    <row r="1349" spans="9:9">
      <c r="I1349" s="122"/>
    </row>
    <row r="1350" spans="9:9">
      <c r="I1350" s="122"/>
    </row>
    <row r="1351" spans="9:9">
      <c r="I1351" s="122"/>
    </row>
    <row r="1352" spans="9:9">
      <c r="I1352" s="122"/>
    </row>
    <row r="1353" spans="9:9">
      <c r="I1353" s="122"/>
    </row>
    <row r="1354" spans="9:9">
      <c r="I1354" s="122"/>
    </row>
    <row r="1355" spans="9:9">
      <c r="I1355" s="122"/>
    </row>
    <row r="1356" spans="9:9">
      <c r="I1356" s="122"/>
    </row>
    <row r="1357" spans="9:9">
      <c r="I1357" s="122"/>
    </row>
    <row r="1358" spans="9:9">
      <c r="I1358" s="122"/>
    </row>
    <row r="1359" spans="9:9">
      <c r="I1359" s="122"/>
    </row>
    <row r="1360" spans="9:9">
      <c r="I1360" s="122"/>
    </row>
    <row r="1361" spans="9:9">
      <c r="I1361" s="122"/>
    </row>
    <row r="1362" spans="9:9">
      <c r="I1362" s="122"/>
    </row>
    <row r="1363" spans="9:9">
      <c r="I1363" s="122"/>
    </row>
    <row r="1364" spans="9:9">
      <c r="I1364" s="122"/>
    </row>
    <row r="1365" spans="9:9">
      <c r="I1365" s="122"/>
    </row>
    <row r="1366" spans="9:9">
      <c r="I1366" s="122"/>
    </row>
    <row r="1367" spans="9:9">
      <c r="I1367" s="122"/>
    </row>
    <row r="1368" spans="9:9">
      <c r="I1368" s="122"/>
    </row>
    <row r="1369" spans="9:9">
      <c r="I1369" s="122"/>
    </row>
    <row r="1370" spans="9:9">
      <c r="I1370" s="122"/>
    </row>
    <row r="1371" spans="9:9">
      <c r="I1371" s="122"/>
    </row>
    <row r="1372" spans="9:9">
      <c r="I1372" s="122"/>
    </row>
    <row r="1373" spans="9:9">
      <c r="I1373" s="122"/>
    </row>
    <row r="1374" spans="9:9">
      <c r="I1374" s="122"/>
    </row>
    <row r="1375" spans="9:9">
      <c r="I1375" s="122"/>
    </row>
    <row r="1376" spans="9:9">
      <c r="I1376" s="122"/>
    </row>
    <row r="1377" spans="9:9">
      <c r="I1377" s="122"/>
    </row>
    <row r="1378" spans="9:9">
      <c r="I1378" s="122"/>
    </row>
    <row r="1379" spans="9:9">
      <c r="I1379" s="122"/>
    </row>
    <row r="1380" spans="9:9">
      <c r="I1380" s="122"/>
    </row>
    <row r="1381" spans="9:9">
      <c r="I1381" s="122"/>
    </row>
    <row r="1382" spans="9:9">
      <c r="I1382" s="122"/>
    </row>
    <row r="1383" spans="9:9">
      <c r="I1383" s="122"/>
    </row>
    <row r="1384" spans="9:9">
      <c r="I1384" s="122"/>
    </row>
    <row r="1385" spans="9:9">
      <c r="I1385" s="122"/>
    </row>
    <row r="1386" spans="9:9">
      <c r="I1386" s="122"/>
    </row>
    <row r="1387" spans="9:9">
      <c r="I1387" s="122"/>
    </row>
    <row r="1388" spans="9:9">
      <c r="I1388" s="122"/>
    </row>
    <row r="1389" spans="9:9">
      <c r="I1389" s="122"/>
    </row>
    <row r="1390" spans="9:9">
      <c r="I1390" s="122"/>
    </row>
    <row r="1391" spans="9:9">
      <c r="I1391" s="122"/>
    </row>
    <row r="1392" spans="9:9">
      <c r="I1392" s="122"/>
    </row>
    <row r="1393" spans="9:9">
      <c r="I1393" s="122"/>
    </row>
    <row r="1394" spans="9:9">
      <c r="I1394" s="122"/>
    </row>
    <row r="1395" spans="9:9">
      <c r="I1395" s="122"/>
    </row>
    <row r="1396" spans="9:9">
      <c r="I1396" s="122"/>
    </row>
    <row r="1397" spans="9:9">
      <c r="I1397" s="122"/>
    </row>
    <row r="1398" spans="9:9">
      <c r="I1398" s="122"/>
    </row>
    <row r="1399" spans="9:9">
      <c r="I1399" s="122"/>
    </row>
    <row r="1400" spans="9:9">
      <c r="I1400" s="122"/>
    </row>
    <row r="1401" spans="9:9">
      <c r="I1401" s="122"/>
    </row>
    <row r="1402" spans="9:9">
      <c r="I1402" s="122"/>
    </row>
    <row r="1403" spans="9:9">
      <c r="I1403" s="122"/>
    </row>
    <row r="1404" spans="9:9">
      <c r="I1404" s="122"/>
    </row>
    <row r="1405" spans="9:9">
      <c r="I1405" s="122"/>
    </row>
    <row r="1406" spans="9:9">
      <c r="I1406" s="122"/>
    </row>
    <row r="1407" spans="9:9">
      <c r="I1407" s="122"/>
    </row>
    <row r="1408" spans="9:9">
      <c r="I1408" s="122"/>
    </row>
    <row r="1409" spans="9:9">
      <c r="I1409" s="122"/>
    </row>
    <row r="1410" spans="9:9">
      <c r="I1410" s="122"/>
    </row>
    <row r="1411" spans="9:9">
      <c r="I1411" s="122"/>
    </row>
    <row r="1412" spans="9:9">
      <c r="I1412" s="122"/>
    </row>
    <row r="1413" spans="9:9">
      <c r="I1413" s="122"/>
    </row>
    <row r="1414" spans="9:9">
      <c r="I1414" s="122"/>
    </row>
    <row r="1415" spans="9:9">
      <c r="I1415" s="122"/>
    </row>
    <row r="1416" spans="9:9">
      <c r="I1416" s="122"/>
    </row>
    <row r="1417" spans="9:9">
      <c r="I1417" s="122"/>
    </row>
    <row r="1418" spans="9:9">
      <c r="I1418" s="122"/>
    </row>
    <row r="1419" spans="9:9">
      <c r="I1419" s="122"/>
    </row>
    <row r="1420" spans="9:9">
      <c r="I1420" s="122"/>
    </row>
    <row r="1421" spans="9:9">
      <c r="I1421" s="122"/>
    </row>
    <row r="1422" spans="9:9">
      <c r="I1422" s="122"/>
    </row>
    <row r="1423" spans="9:9">
      <c r="I1423" s="122"/>
    </row>
    <row r="1424" spans="9:9">
      <c r="I1424" s="122"/>
    </row>
    <row r="1425" spans="9:9">
      <c r="I1425" s="122"/>
    </row>
    <row r="1426" spans="9:9">
      <c r="I1426" s="122"/>
    </row>
    <row r="1427" spans="9:9">
      <c r="I1427" s="122"/>
    </row>
    <row r="1428" spans="9:9">
      <c r="I1428" s="122"/>
    </row>
    <row r="1429" spans="9:9">
      <c r="I1429" s="122"/>
    </row>
    <row r="1430" spans="9:9">
      <c r="I1430" s="122"/>
    </row>
    <row r="1431" spans="9:9">
      <c r="I1431" s="122"/>
    </row>
    <row r="1432" spans="9:9">
      <c r="I1432" s="122"/>
    </row>
    <row r="1433" spans="9:9">
      <c r="I1433" s="122"/>
    </row>
    <row r="1434" spans="9:9">
      <c r="I1434" s="122"/>
    </row>
    <row r="1435" spans="9:9">
      <c r="I1435" s="122"/>
    </row>
    <row r="1436" spans="9:9">
      <c r="I1436" s="122"/>
    </row>
    <row r="1437" spans="9:9">
      <c r="I1437" s="122"/>
    </row>
    <row r="1438" spans="9:9">
      <c r="I1438" s="122"/>
    </row>
    <row r="1439" spans="9:9">
      <c r="I1439" s="122"/>
    </row>
    <row r="1440" spans="9:9">
      <c r="I1440" s="122"/>
    </row>
    <row r="1441" spans="9:9">
      <c r="I1441" s="122"/>
    </row>
    <row r="1442" spans="9:9">
      <c r="I1442" s="122"/>
    </row>
    <row r="1443" spans="9:9">
      <c r="I1443" s="122"/>
    </row>
    <row r="1444" spans="9:9">
      <c r="I1444" s="122"/>
    </row>
    <row r="1445" spans="9:9">
      <c r="I1445" s="122"/>
    </row>
    <row r="1446" spans="9:9">
      <c r="I1446" s="122"/>
    </row>
    <row r="1447" spans="9:9">
      <c r="I1447" s="122"/>
    </row>
    <row r="1448" spans="9:9">
      <c r="I1448" s="122"/>
    </row>
    <row r="1449" spans="9:9">
      <c r="I1449" s="122"/>
    </row>
    <row r="1450" spans="9:9">
      <c r="I1450" s="122"/>
    </row>
    <row r="1451" spans="9:9">
      <c r="I1451" s="122"/>
    </row>
    <row r="1452" spans="9:9">
      <c r="I1452" s="122"/>
    </row>
    <row r="1453" spans="9:9">
      <c r="I1453" s="122"/>
    </row>
    <row r="1454" spans="9:9">
      <c r="I1454" s="122"/>
    </row>
    <row r="1455" spans="9:9">
      <c r="I1455" s="122"/>
    </row>
    <row r="1456" spans="9:9">
      <c r="I1456" s="122"/>
    </row>
    <row r="1457" spans="9:9">
      <c r="I1457" s="122"/>
    </row>
    <row r="1458" spans="9:9">
      <c r="I1458" s="122"/>
    </row>
    <row r="1459" spans="9:9">
      <c r="I1459" s="122"/>
    </row>
    <row r="1460" spans="9:9">
      <c r="I1460" s="122"/>
    </row>
    <row r="1461" spans="9:9">
      <c r="I1461" s="122"/>
    </row>
    <row r="1462" spans="9:9">
      <c r="I1462" s="122"/>
    </row>
    <row r="1463" spans="9:9">
      <c r="I1463" s="122"/>
    </row>
    <row r="1464" spans="9:9">
      <c r="I1464" s="122"/>
    </row>
    <row r="1465" spans="9:9">
      <c r="I1465" s="122"/>
    </row>
    <row r="1466" spans="9:9">
      <c r="I1466" s="122"/>
    </row>
    <row r="1467" spans="9:9">
      <c r="I1467" s="122"/>
    </row>
    <row r="1468" spans="9:9">
      <c r="I1468" s="122"/>
    </row>
    <row r="1469" spans="9:9">
      <c r="I1469" s="122"/>
    </row>
    <row r="1470" spans="9:9">
      <c r="I1470" s="122"/>
    </row>
    <row r="1471" spans="9:9">
      <c r="I1471" s="122"/>
    </row>
    <row r="1472" spans="9:9">
      <c r="I1472" s="122"/>
    </row>
    <row r="1473" spans="9:9">
      <c r="I1473" s="122"/>
    </row>
    <row r="1474" spans="9:9">
      <c r="I1474" s="122"/>
    </row>
    <row r="1475" spans="9:9">
      <c r="I1475" s="122"/>
    </row>
    <row r="1476" spans="9:9">
      <c r="I1476" s="122"/>
    </row>
    <row r="1477" spans="9:9">
      <c r="I1477" s="122"/>
    </row>
    <row r="1478" spans="9:9">
      <c r="I1478" s="122"/>
    </row>
    <row r="1479" spans="9:9">
      <c r="I1479" s="122"/>
    </row>
    <row r="1480" spans="9:9">
      <c r="I1480" s="122"/>
    </row>
    <row r="1481" spans="9:9">
      <c r="I1481" s="122"/>
    </row>
    <row r="1482" spans="9:9">
      <c r="I1482" s="122"/>
    </row>
    <row r="1483" spans="9:9">
      <c r="I1483" s="122"/>
    </row>
    <row r="1484" spans="9:9">
      <c r="I1484" s="122"/>
    </row>
    <row r="1485" spans="9:9">
      <c r="I1485" s="122"/>
    </row>
    <row r="1486" spans="9:9">
      <c r="I1486" s="122"/>
    </row>
    <row r="1487" spans="9:9">
      <c r="I1487" s="122"/>
    </row>
    <row r="1488" spans="9:9">
      <c r="I1488" s="122"/>
    </row>
    <row r="1489" spans="9:9">
      <c r="I1489" s="122"/>
    </row>
    <row r="1490" spans="9:9">
      <c r="I1490" s="122"/>
    </row>
    <row r="1491" spans="9:9">
      <c r="I1491" s="122"/>
    </row>
    <row r="1492" spans="9:9">
      <c r="I1492" s="122"/>
    </row>
    <row r="1493" spans="9:9">
      <c r="I1493" s="122"/>
    </row>
    <row r="1494" spans="9:9">
      <c r="I1494" s="122"/>
    </row>
    <row r="1495" spans="9:9">
      <c r="I1495" s="122"/>
    </row>
    <row r="1496" spans="9:9">
      <c r="I1496" s="122"/>
    </row>
    <row r="1497" spans="9:9">
      <c r="I1497" s="122"/>
    </row>
    <row r="1498" spans="9:9">
      <c r="I1498" s="122"/>
    </row>
    <row r="1499" spans="9:9">
      <c r="I1499" s="122"/>
    </row>
    <row r="1500" spans="9:9">
      <c r="I1500" s="122"/>
    </row>
    <row r="1501" spans="9:9">
      <c r="I1501" s="122"/>
    </row>
    <row r="1502" spans="9:9">
      <c r="I1502" s="122"/>
    </row>
    <row r="1503" spans="9:9">
      <c r="I1503" s="122"/>
    </row>
    <row r="1504" spans="9:9">
      <c r="I1504" s="122"/>
    </row>
    <row r="1505" spans="9:9">
      <c r="I1505" s="122"/>
    </row>
    <row r="1506" spans="9:9">
      <c r="I1506" s="122"/>
    </row>
    <row r="1507" spans="9:9">
      <c r="I1507" s="122"/>
    </row>
    <row r="1508" spans="9:9">
      <c r="I1508" s="122"/>
    </row>
    <row r="1509" spans="9:9">
      <c r="I1509" s="122"/>
    </row>
    <row r="1510" spans="9:9">
      <c r="I1510" s="122"/>
    </row>
    <row r="1511" spans="9:9">
      <c r="I1511" s="122"/>
    </row>
    <row r="1512" spans="9:9">
      <c r="I1512" s="122"/>
    </row>
    <row r="1513" spans="9:9">
      <c r="I1513" s="122"/>
    </row>
    <row r="1514" spans="9:9">
      <c r="I1514" s="122"/>
    </row>
    <row r="1515" spans="9:9">
      <c r="I1515" s="122"/>
    </row>
    <row r="1516" spans="9:9">
      <c r="I1516" s="122"/>
    </row>
    <row r="1517" spans="9:9">
      <c r="I1517" s="122"/>
    </row>
    <row r="1518" spans="9:9">
      <c r="I1518" s="122"/>
    </row>
    <row r="1519" spans="9:9">
      <c r="I1519" s="122"/>
    </row>
    <row r="1520" spans="9:9">
      <c r="I1520" s="122"/>
    </row>
    <row r="1521" spans="9:9">
      <c r="I1521" s="122"/>
    </row>
    <row r="1522" spans="9:9">
      <c r="I1522" s="122"/>
    </row>
    <row r="1523" spans="9:9">
      <c r="I1523" s="122"/>
    </row>
    <row r="1524" spans="9:9">
      <c r="I1524" s="122"/>
    </row>
    <row r="1525" spans="9:9">
      <c r="I1525" s="122"/>
    </row>
    <row r="1526" spans="9:9">
      <c r="I1526" s="122"/>
    </row>
    <row r="1527" spans="9:9">
      <c r="I1527" s="122"/>
    </row>
    <row r="1528" spans="9:9">
      <c r="I1528" s="122"/>
    </row>
    <row r="1529" spans="9:9">
      <c r="I1529" s="122"/>
    </row>
    <row r="1530" spans="9:9">
      <c r="I1530" s="122"/>
    </row>
    <row r="1531" spans="9:9">
      <c r="I1531" s="122"/>
    </row>
    <row r="1532" spans="9:9">
      <c r="I1532" s="122"/>
    </row>
    <row r="1533" spans="9:9">
      <c r="I1533" s="122"/>
    </row>
    <row r="1534" spans="9:9">
      <c r="I1534" s="122"/>
    </row>
    <row r="1535" spans="9:9">
      <c r="I1535" s="122"/>
    </row>
    <row r="1536" spans="9:9">
      <c r="I1536" s="122"/>
    </row>
    <row r="1537" spans="9:9">
      <c r="I1537" s="122"/>
    </row>
    <row r="1538" spans="9:9">
      <c r="I1538" s="122"/>
    </row>
    <row r="1539" spans="9:9">
      <c r="I1539" s="122"/>
    </row>
    <row r="1540" spans="9:9">
      <c r="I1540" s="122"/>
    </row>
    <row r="1541" spans="9:9">
      <c r="I1541" s="122"/>
    </row>
    <row r="1542" spans="9:9">
      <c r="I1542" s="122"/>
    </row>
    <row r="1543" spans="9:9">
      <c r="I1543" s="122"/>
    </row>
    <row r="1544" spans="9:9">
      <c r="I1544" s="122"/>
    </row>
    <row r="1545" spans="9:9">
      <c r="I1545" s="122"/>
    </row>
    <row r="1546" spans="9:9">
      <c r="I1546" s="122"/>
    </row>
    <row r="1547" spans="9:9">
      <c r="I1547" s="122"/>
    </row>
    <row r="1548" spans="9:9">
      <c r="I1548" s="122"/>
    </row>
    <row r="1549" spans="9:9">
      <c r="I1549" s="122"/>
    </row>
    <row r="1550" spans="9:9">
      <c r="I1550" s="122"/>
    </row>
    <row r="1551" spans="9:9">
      <c r="I1551" s="122"/>
    </row>
    <row r="1552" spans="9:9">
      <c r="I1552" s="122"/>
    </row>
    <row r="1553" spans="9:9">
      <c r="I1553" s="122"/>
    </row>
    <row r="1554" spans="9:9">
      <c r="I1554" s="122"/>
    </row>
    <row r="1555" spans="9:9">
      <c r="I1555" s="122"/>
    </row>
    <row r="1556" spans="9:9">
      <c r="I1556" s="122"/>
    </row>
    <row r="1557" spans="9:9">
      <c r="I1557" s="122"/>
    </row>
    <row r="1558" spans="9:9">
      <c r="I1558" s="122"/>
    </row>
    <row r="1559" spans="9:9">
      <c r="I1559" s="122"/>
    </row>
    <row r="1560" spans="9:9">
      <c r="I1560" s="122"/>
    </row>
    <row r="1561" spans="9:9">
      <c r="I1561" s="122"/>
    </row>
    <row r="1562" spans="9:9">
      <c r="I1562" s="122"/>
    </row>
    <row r="1563" spans="9:9">
      <c r="I1563" s="122"/>
    </row>
    <row r="1564" spans="9:9">
      <c r="I1564" s="122"/>
    </row>
    <row r="1565" spans="9:9">
      <c r="I1565" s="122"/>
    </row>
    <row r="1566" spans="9:9">
      <c r="I1566" s="122"/>
    </row>
    <row r="1567" spans="9:9">
      <c r="I1567" s="122"/>
    </row>
    <row r="1568" spans="9:9">
      <c r="I1568" s="122"/>
    </row>
    <row r="1569" spans="9:9">
      <c r="I1569" s="122"/>
    </row>
    <row r="1570" spans="9:9">
      <c r="I1570" s="122"/>
    </row>
    <row r="1571" spans="9:9">
      <c r="I1571" s="122"/>
    </row>
    <row r="1572" spans="9:9">
      <c r="I1572" s="122"/>
    </row>
    <row r="1573" spans="9:9">
      <c r="I1573" s="122"/>
    </row>
    <row r="1574" spans="9:9">
      <c r="I1574" s="122"/>
    </row>
    <row r="1575" spans="9:9">
      <c r="I1575" s="122"/>
    </row>
    <row r="1576" spans="9:9">
      <c r="I1576" s="122"/>
    </row>
    <row r="1577" spans="9:9">
      <c r="I1577" s="122"/>
    </row>
    <row r="1578" spans="9:9">
      <c r="I1578" s="122"/>
    </row>
    <row r="1579" spans="9:9">
      <c r="I1579" s="122"/>
    </row>
    <row r="1580" spans="9:9">
      <c r="I1580" s="122"/>
    </row>
    <row r="1581" spans="9:9">
      <c r="I1581" s="122"/>
    </row>
    <row r="1582" spans="9:9">
      <c r="I1582" s="122"/>
    </row>
    <row r="1583" spans="9:9">
      <c r="I1583" s="122"/>
    </row>
    <row r="1584" spans="9:9">
      <c r="I1584" s="122"/>
    </row>
    <row r="1585" spans="9:9">
      <c r="I1585" s="122"/>
    </row>
    <row r="1586" spans="9:9">
      <c r="I1586" s="122"/>
    </row>
    <row r="1587" spans="9:9">
      <c r="I1587" s="122"/>
    </row>
    <row r="1588" spans="9:9">
      <c r="I1588" s="122"/>
    </row>
    <row r="1589" spans="9:9">
      <c r="I1589" s="122"/>
    </row>
    <row r="1590" spans="9:9">
      <c r="I1590" s="122"/>
    </row>
    <row r="1591" spans="9:9">
      <c r="I1591" s="122"/>
    </row>
    <row r="1592" spans="9:9">
      <c r="I1592" s="122"/>
    </row>
    <row r="1593" spans="9:9">
      <c r="I1593" s="122"/>
    </row>
    <row r="1594" spans="9:9">
      <c r="I1594" s="122"/>
    </row>
    <row r="1595" spans="9:9">
      <c r="I1595" s="122"/>
    </row>
    <row r="1596" spans="9:9">
      <c r="I1596" s="122"/>
    </row>
    <row r="1597" spans="9:9">
      <c r="I1597" s="122"/>
    </row>
    <row r="1598" spans="9:9">
      <c r="I1598" s="122"/>
    </row>
    <row r="1599" spans="9:9">
      <c r="I1599" s="122"/>
    </row>
    <row r="1600" spans="9:9">
      <c r="I1600" s="122"/>
    </row>
    <row r="1601" spans="9:9">
      <c r="I1601" s="122"/>
    </row>
    <row r="1602" spans="9:9">
      <c r="I1602" s="122"/>
    </row>
    <row r="1603" spans="9:9">
      <c r="I1603" s="122"/>
    </row>
    <row r="1604" spans="9:9">
      <c r="I1604" s="122"/>
    </row>
    <row r="1605" spans="9:9">
      <c r="I1605" s="122"/>
    </row>
    <row r="1606" spans="9:9">
      <c r="I1606" s="122"/>
    </row>
    <row r="1607" spans="9:9">
      <c r="I1607" s="122"/>
    </row>
    <row r="1608" spans="9:9">
      <c r="I1608" s="122"/>
    </row>
    <row r="1609" spans="9:9">
      <c r="I1609" s="122"/>
    </row>
    <row r="1610" spans="9:9">
      <c r="I1610" s="122"/>
    </row>
    <row r="1611" spans="9:9">
      <c r="I1611" s="122"/>
    </row>
    <row r="1612" spans="9:9">
      <c r="I1612" s="122"/>
    </row>
    <row r="1613" spans="9:9">
      <c r="I1613" s="122"/>
    </row>
    <row r="1614" spans="9:9">
      <c r="I1614" s="122"/>
    </row>
    <row r="1615" spans="9:9">
      <c r="I1615" s="122"/>
    </row>
    <row r="1616" spans="9:9">
      <c r="I1616" s="122"/>
    </row>
    <row r="1617" spans="9:9">
      <c r="I1617" s="122"/>
    </row>
    <row r="1618" spans="9:9">
      <c r="I1618" s="122"/>
    </row>
    <row r="1619" spans="9:9">
      <c r="I1619" s="122"/>
    </row>
    <row r="1620" spans="9:9">
      <c r="I1620" s="122"/>
    </row>
    <row r="1621" spans="9:9">
      <c r="I1621" s="122"/>
    </row>
    <row r="1622" spans="9:9">
      <c r="I1622" s="122"/>
    </row>
    <row r="1623" spans="9:9">
      <c r="I1623" s="122"/>
    </row>
    <row r="1624" spans="9:9">
      <c r="I1624" s="122"/>
    </row>
    <row r="1625" spans="9:9">
      <c r="I1625" s="122"/>
    </row>
    <row r="1626" spans="9:9">
      <c r="I1626" s="122"/>
    </row>
    <row r="1627" spans="9:9">
      <c r="I1627" s="122"/>
    </row>
    <row r="1628" spans="9:9">
      <c r="I1628" s="122"/>
    </row>
    <row r="1629" spans="9:9">
      <c r="I1629" s="122"/>
    </row>
    <row r="1630" spans="9:9">
      <c r="I1630" s="122"/>
    </row>
    <row r="1631" spans="9:9">
      <c r="I1631" s="122"/>
    </row>
    <row r="1632" spans="9:9">
      <c r="I1632" s="122"/>
    </row>
    <row r="1633" spans="9:9">
      <c r="I1633" s="122"/>
    </row>
    <row r="1634" spans="9:9">
      <c r="I1634" s="122"/>
    </row>
    <row r="1635" spans="9:9">
      <c r="I1635" s="122"/>
    </row>
    <row r="1636" spans="9:9">
      <c r="I1636" s="122"/>
    </row>
    <row r="1637" spans="9:9">
      <c r="I1637" s="122"/>
    </row>
    <row r="1638" spans="9:9">
      <c r="I1638" s="122"/>
    </row>
    <row r="1639" spans="9:9">
      <c r="I1639" s="122"/>
    </row>
    <row r="1640" spans="9:9">
      <c r="I1640" s="122"/>
    </row>
    <row r="1641" spans="9:9">
      <c r="I1641" s="122"/>
    </row>
    <row r="1642" spans="9:9">
      <c r="I1642" s="122"/>
    </row>
    <row r="1643" spans="9:9">
      <c r="I1643" s="122"/>
    </row>
    <row r="1644" spans="9:9">
      <c r="I1644" s="122"/>
    </row>
    <row r="1645" spans="9:9">
      <c r="I1645" s="122"/>
    </row>
    <row r="1646" spans="9:9">
      <c r="I1646" s="122"/>
    </row>
    <row r="1647" spans="9:9">
      <c r="I1647" s="122"/>
    </row>
    <row r="1648" spans="9:9">
      <c r="I1648" s="122"/>
    </row>
    <row r="1649" spans="9:9">
      <c r="I1649" s="122"/>
    </row>
    <row r="1650" spans="9:9">
      <c r="I1650" s="122"/>
    </row>
    <row r="1651" spans="9:9">
      <c r="I1651" s="122"/>
    </row>
    <row r="1652" spans="9:9">
      <c r="I1652" s="122"/>
    </row>
    <row r="1653" spans="9:9">
      <c r="I1653" s="122"/>
    </row>
    <row r="1654" spans="9:9">
      <c r="I1654" s="122"/>
    </row>
    <row r="1655" spans="9:9">
      <c r="I1655" s="122"/>
    </row>
    <row r="1656" spans="9:9">
      <c r="I1656" s="122"/>
    </row>
  </sheetData>
  <mergeCells count="194">
    <mergeCell ref="I20:J20"/>
    <mergeCell ref="K20:M20"/>
    <mergeCell ref="I24:J24"/>
    <mergeCell ref="K24:M24"/>
    <mergeCell ref="I31:J31"/>
    <mergeCell ref="K31:M31"/>
    <mergeCell ref="I32:J32"/>
    <mergeCell ref="K32:M32"/>
    <mergeCell ref="I33:J33"/>
    <mergeCell ref="K33:M33"/>
    <mergeCell ref="I25:J25"/>
    <mergeCell ref="K25:M25"/>
    <mergeCell ref="I26:J26"/>
    <mergeCell ref="K26:M26"/>
    <mergeCell ref="I27:J27"/>
    <mergeCell ref="K27:M27"/>
    <mergeCell ref="I40:J40"/>
    <mergeCell ref="K40:M40"/>
    <mergeCell ref="I44:J44"/>
    <mergeCell ref="K44:M44"/>
    <mergeCell ref="I45:J45"/>
    <mergeCell ref="K45:M45"/>
    <mergeCell ref="I37:J37"/>
    <mergeCell ref="K37:M37"/>
    <mergeCell ref="I38:J38"/>
    <mergeCell ref="K38:M38"/>
    <mergeCell ref="I39:J39"/>
    <mergeCell ref="K39:M39"/>
    <mergeCell ref="I52:J52"/>
    <mergeCell ref="K52:M52"/>
    <mergeCell ref="I53:J53"/>
    <mergeCell ref="K53:M53"/>
    <mergeCell ref="I54:J54"/>
    <mergeCell ref="K54:M54"/>
    <mergeCell ref="I46:J46"/>
    <mergeCell ref="K46:M46"/>
    <mergeCell ref="I47:J47"/>
    <mergeCell ref="K47:M47"/>
    <mergeCell ref="I48:J48"/>
    <mergeCell ref="K48:M48"/>
    <mergeCell ref="I61:J61"/>
    <mergeCell ref="K61:M61"/>
    <mergeCell ref="I62:J62"/>
    <mergeCell ref="K62:M62"/>
    <mergeCell ref="I63:J63"/>
    <mergeCell ref="K63:M63"/>
    <mergeCell ref="I55:J55"/>
    <mergeCell ref="K55:M55"/>
    <mergeCell ref="I56:J56"/>
    <mergeCell ref="K56:M56"/>
    <mergeCell ref="I57:J57"/>
    <mergeCell ref="K57:M57"/>
    <mergeCell ref="I73:J73"/>
    <mergeCell ref="K73:M73"/>
    <mergeCell ref="I74:J74"/>
    <mergeCell ref="K74:M74"/>
    <mergeCell ref="I75:J75"/>
    <mergeCell ref="K75:M75"/>
    <mergeCell ref="I64:J64"/>
    <mergeCell ref="K64:M64"/>
    <mergeCell ref="I68:J68"/>
    <mergeCell ref="K68:M68"/>
    <mergeCell ref="I69:J69"/>
    <mergeCell ref="K69:M69"/>
    <mergeCell ref="I82:J82"/>
    <mergeCell ref="K82:M82"/>
    <mergeCell ref="I83:J83"/>
    <mergeCell ref="K83:M83"/>
    <mergeCell ref="I84:J84"/>
    <mergeCell ref="K84:M84"/>
    <mergeCell ref="I79:J79"/>
    <mergeCell ref="K79:M79"/>
    <mergeCell ref="I80:J80"/>
    <mergeCell ref="K80:M80"/>
    <mergeCell ref="I81:J81"/>
    <mergeCell ref="K81:M81"/>
    <mergeCell ref="I91:J91"/>
    <mergeCell ref="K91:M91"/>
    <mergeCell ref="I92:J92"/>
    <mergeCell ref="K92:M92"/>
    <mergeCell ref="I93:J93"/>
    <mergeCell ref="K93:M93"/>
    <mergeCell ref="I85:J85"/>
    <mergeCell ref="K85:M85"/>
    <mergeCell ref="I86:J86"/>
    <mergeCell ref="K86:M86"/>
    <mergeCell ref="I90:J90"/>
    <mergeCell ref="K90:M90"/>
    <mergeCell ref="I100:J100"/>
    <mergeCell ref="K100:M100"/>
    <mergeCell ref="I101:J101"/>
    <mergeCell ref="K101:M101"/>
    <mergeCell ref="I105:J105"/>
    <mergeCell ref="K105:M105"/>
    <mergeCell ref="I94:J94"/>
    <mergeCell ref="K94:M94"/>
    <mergeCell ref="I95:J95"/>
    <mergeCell ref="K95:M95"/>
    <mergeCell ref="I99:J99"/>
    <mergeCell ref="K99:M99"/>
    <mergeCell ref="I109:J109"/>
    <mergeCell ref="K109:M109"/>
    <mergeCell ref="I110:J110"/>
    <mergeCell ref="K110:M110"/>
    <mergeCell ref="I111:J111"/>
    <mergeCell ref="K111:M111"/>
    <mergeCell ref="I106:J106"/>
    <mergeCell ref="K106:M106"/>
    <mergeCell ref="I107:J107"/>
    <mergeCell ref="K107:M107"/>
    <mergeCell ref="I108:J108"/>
    <mergeCell ref="K108:M108"/>
    <mergeCell ref="I121:J121"/>
    <mergeCell ref="K121:M121"/>
    <mergeCell ref="I122:J122"/>
    <mergeCell ref="K122:M122"/>
    <mergeCell ref="I123:J123"/>
    <mergeCell ref="K123:M123"/>
    <mergeCell ref="I115:J115"/>
    <mergeCell ref="K115:M115"/>
    <mergeCell ref="I116:J116"/>
    <mergeCell ref="K116:M116"/>
    <mergeCell ref="I120:J120"/>
    <mergeCell ref="K120:M120"/>
    <mergeCell ref="I127:J127"/>
    <mergeCell ref="K127:M127"/>
    <mergeCell ref="I131:J131"/>
    <mergeCell ref="K131:M131"/>
    <mergeCell ref="I132:J132"/>
    <mergeCell ref="K132:M132"/>
    <mergeCell ref="I124:J124"/>
    <mergeCell ref="K124:M124"/>
    <mergeCell ref="I125:J125"/>
    <mergeCell ref="K125:M125"/>
    <mergeCell ref="I126:J126"/>
    <mergeCell ref="K126:M126"/>
    <mergeCell ref="I139:J139"/>
    <mergeCell ref="K139:M139"/>
    <mergeCell ref="I140:J140"/>
    <mergeCell ref="K140:M140"/>
    <mergeCell ref="I141:J141"/>
    <mergeCell ref="K141:M141"/>
    <mergeCell ref="I133:J133"/>
    <mergeCell ref="K133:M133"/>
    <mergeCell ref="I134:J134"/>
    <mergeCell ref="K134:M134"/>
    <mergeCell ref="I135:J135"/>
    <mergeCell ref="K135:M135"/>
    <mergeCell ref="I151:J151"/>
    <mergeCell ref="K151:M151"/>
    <mergeCell ref="I152:J152"/>
    <mergeCell ref="K152:M152"/>
    <mergeCell ref="I156:J156"/>
    <mergeCell ref="K156:M156"/>
    <mergeCell ref="I145:J145"/>
    <mergeCell ref="K145:M145"/>
    <mergeCell ref="I146:J146"/>
    <mergeCell ref="K146:M146"/>
    <mergeCell ref="I150:J150"/>
    <mergeCell ref="K150:M150"/>
    <mergeCell ref="I167:J167"/>
    <mergeCell ref="K167:M167"/>
    <mergeCell ref="I171:J171"/>
    <mergeCell ref="K171:M171"/>
    <mergeCell ref="I157:J157"/>
    <mergeCell ref="K157:M157"/>
    <mergeCell ref="I161:J161"/>
    <mergeCell ref="K161:M161"/>
    <mergeCell ref="I162:J162"/>
    <mergeCell ref="K162:M162"/>
    <mergeCell ref="I192:J192"/>
    <mergeCell ref="K192:M192"/>
    <mergeCell ref="I2:J2"/>
    <mergeCell ref="K2:M2"/>
    <mergeCell ref="I184:J184"/>
    <mergeCell ref="K184:M184"/>
    <mergeCell ref="I188:J188"/>
    <mergeCell ref="K188:M188"/>
    <mergeCell ref="I189:J189"/>
    <mergeCell ref="K189:M189"/>
    <mergeCell ref="I178:J178"/>
    <mergeCell ref="K178:M178"/>
    <mergeCell ref="I179:J179"/>
    <mergeCell ref="K179:M179"/>
    <mergeCell ref="I183:J183"/>
    <mergeCell ref="K183:M183"/>
    <mergeCell ref="I172:J172"/>
    <mergeCell ref="K172:M172"/>
    <mergeCell ref="I173:J173"/>
    <mergeCell ref="K173:M173"/>
    <mergeCell ref="I177:J177"/>
    <mergeCell ref="K177:M177"/>
    <mergeCell ref="I166:J166"/>
    <mergeCell ref="K166:M16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395B-F123-4585-B2AB-5BABD1FBBFC7}">
  <dimension ref="A1:R1656"/>
  <sheetViews>
    <sheetView tabSelected="1" topLeftCell="A181" zoomScale="60" zoomScaleNormal="60" workbookViewId="0">
      <selection activeCell="P194" sqref="P194"/>
    </sheetView>
  </sheetViews>
  <sheetFormatPr defaultRowHeight="26.25"/>
  <cols>
    <col min="2" max="2" width="8.85546875" style="51"/>
    <col min="3" max="3" width="47.5703125" style="37" customWidth="1"/>
    <col min="4" max="4" width="38.28515625" customWidth="1"/>
    <col min="5" max="5" width="8.140625" customWidth="1"/>
    <col min="6" max="6" width="25" customWidth="1"/>
    <col min="7" max="7" width="8.85546875" style="109"/>
    <col min="8" max="8" width="14.7109375" style="55" customWidth="1"/>
    <col min="9" max="9" width="11" style="121" customWidth="1"/>
    <col min="10" max="10" width="5.85546875" customWidth="1"/>
    <col min="11" max="11" width="11.28515625" customWidth="1"/>
    <col min="12" max="12" width="3.28515625" customWidth="1"/>
    <col min="13" max="13" width="4.42578125" customWidth="1"/>
    <col min="15" max="15" width="16.140625" customWidth="1"/>
  </cols>
  <sheetData>
    <row r="1" spans="1:18">
      <c r="I1" s="55"/>
    </row>
    <row r="2" spans="1:18">
      <c r="A2" s="3"/>
      <c r="B2" s="52" t="s">
        <v>1</v>
      </c>
      <c r="C2" s="38" t="s">
        <v>421</v>
      </c>
      <c r="D2" s="26"/>
      <c r="E2" s="27" t="s">
        <v>1</v>
      </c>
      <c r="F2" s="38" t="s">
        <v>422</v>
      </c>
      <c r="G2" s="108"/>
      <c r="H2" s="56"/>
      <c r="I2" s="139"/>
      <c r="J2" s="139"/>
      <c r="K2" s="140"/>
      <c r="L2" s="140"/>
      <c r="M2" s="140"/>
      <c r="N2" s="3"/>
      <c r="O2" s="3"/>
      <c r="P2" s="3"/>
      <c r="Q2" s="3"/>
      <c r="R2" s="3"/>
    </row>
    <row r="3" spans="1:18">
      <c r="A3" s="3"/>
      <c r="B3" s="128" t="s">
        <v>291</v>
      </c>
      <c r="C3" s="130"/>
      <c r="D3" s="129" t="s">
        <v>292</v>
      </c>
      <c r="E3" s="130"/>
      <c r="F3" s="130"/>
      <c r="G3" s="130"/>
      <c r="H3" s="129" t="s">
        <v>293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22"/>
    </row>
    <row r="5" spans="1:18">
      <c r="I5" s="122"/>
    </row>
    <row r="6" spans="1:18">
      <c r="I6" s="122"/>
    </row>
    <row r="7" spans="1:18">
      <c r="I7" s="122"/>
    </row>
    <row r="8" spans="1:18">
      <c r="I8" s="122"/>
    </row>
    <row r="9" spans="1:18">
      <c r="I9" s="122"/>
    </row>
    <row r="10" spans="1:18">
      <c r="I10" s="122"/>
    </row>
    <row r="11" spans="1:18">
      <c r="I11" s="122"/>
    </row>
    <row r="12" spans="1:18">
      <c r="I12" s="122"/>
    </row>
    <row r="13" spans="1:18">
      <c r="I13" s="122"/>
    </row>
    <row r="14" spans="1:18">
      <c r="I14" s="122"/>
    </row>
    <row r="15" spans="1:18">
      <c r="I15" s="122"/>
    </row>
    <row r="16" spans="1:18" ht="28.5">
      <c r="D16" s="12"/>
      <c r="I16" s="122"/>
    </row>
    <row r="17" spans="1:18">
      <c r="I17" s="122"/>
    </row>
    <row r="18" spans="1:18">
      <c r="I18" s="122"/>
    </row>
    <row r="19" spans="1:18">
      <c r="I19" s="122"/>
    </row>
    <row r="20" spans="1:18">
      <c r="A20" s="3"/>
      <c r="B20" s="52" t="s">
        <v>1</v>
      </c>
      <c r="C20" s="38" t="s">
        <v>423</v>
      </c>
      <c r="D20" s="26" t="s">
        <v>1</v>
      </c>
      <c r="E20" s="27" t="s">
        <v>1</v>
      </c>
      <c r="F20" s="28" t="s">
        <v>1</v>
      </c>
      <c r="G20" s="110" t="s">
        <v>1</v>
      </c>
      <c r="H20" s="56" t="s">
        <v>1</v>
      </c>
      <c r="I20" s="139">
        <f>+I192</f>
        <v>0</v>
      </c>
      <c r="J20" s="139"/>
      <c r="K20" s="140">
        <f>+K192</f>
        <v>0</v>
      </c>
      <c r="L20" s="140"/>
      <c r="M20" s="140"/>
      <c r="N20" s="3"/>
      <c r="O20" s="3"/>
      <c r="P20" s="3"/>
      <c r="Q20" s="3"/>
      <c r="R20" s="3"/>
    </row>
    <row r="21" spans="1:18">
      <c r="I21" s="122"/>
    </row>
    <row r="22" spans="1:18">
      <c r="B22" s="53"/>
      <c r="C22" s="2" t="s">
        <v>53</v>
      </c>
      <c r="D22" s="2"/>
      <c r="E22" s="3"/>
      <c r="F22" s="3"/>
      <c r="G22" s="111"/>
      <c r="H22" s="57"/>
      <c r="I22" s="57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424</v>
      </c>
      <c r="D23" s="94"/>
      <c r="E23" s="96" t="s">
        <v>278</v>
      </c>
      <c r="F23" s="96"/>
      <c r="G23" s="112" t="s">
        <v>289</v>
      </c>
      <c r="H23" s="95" t="s">
        <v>425</v>
      </c>
      <c r="I23" s="123" t="s">
        <v>426</v>
      </c>
      <c r="J23" s="124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113" t="s">
        <v>0</v>
      </c>
      <c r="H24" s="85">
        <v>25</v>
      </c>
      <c r="I24" s="141">
        <v>0</v>
      </c>
      <c r="J24" s="141"/>
      <c r="K24" s="142">
        <f>+H24*I24</f>
        <v>0</v>
      </c>
      <c r="L24" s="142"/>
      <c r="M24" s="142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114" t="s">
        <v>0</v>
      </c>
      <c r="H25" s="83">
        <v>25</v>
      </c>
      <c r="I25" s="141">
        <v>0</v>
      </c>
      <c r="J25" s="141"/>
      <c r="K25" s="143">
        <f>+H25*I25</f>
        <v>0</v>
      </c>
      <c r="L25" s="143"/>
      <c r="M25" s="143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113" t="s">
        <v>0</v>
      </c>
      <c r="H26" s="85">
        <v>25</v>
      </c>
      <c r="I26" s="141">
        <v>0</v>
      </c>
      <c r="J26" s="141"/>
      <c r="K26" s="142">
        <f>+H26*I26</f>
        <v>0</v>
      </c>
      <c r="L26" s="142"/>
      <c r="M26" s="142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114" t="s">
        <v>0</v>
      </c>
      <c r="H27" s="83">
        <v>25</v>
      </c>
      <c r="I27" s="141">
        <v>0</v>
      </c>
      <c r="J27" s="141"/>
      <c r="K27" s="143">
        <f>+H27*I27</f>
        <v>0</v>
      </c>
      <c r="L27" s="143"/>
      <c r="M27" s="143"/>
      <c r="N27" s="4"/>
    </row>
    <row r="28" spans="1:18">
      <c r="B28" s="75"/>
      <c r="C28" s="76"/>
      <c r="D28" s="77"/>
      <c r="E28" s="77"/>
      <c r="F28" s="77"/>
      <c r="G28" s="115"/>
      <c r="H28" s="78"/>
      <c r="I28" s="78"/>
      <c r="J28" s="78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111"/>
      <c r="H29" s="57"/>
      <c r="I29" s="57"/>
      <c r="J29" s="57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424</v>
      </c>
      <c r="D30" s="94"/>
      <c r="E30" s="96" t="s">
        <v>278</v>
      </c>
      <c r="F30" s="96"/>
      <c r="G30" s="112" t="s">
        <v>289</v>
      </c>
      <c r="H30" s="95" t="s">
        <v>425</v>
      </c>
      <c r="I30" s="123" t="s">
        <v>426</v>
      </c>
      <c r="J30" s="124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113" t="s">
        <v>0</v>
      </c>
      <c r="H31" s="85">
        <v>15</v>
      </c>
      <c r="I31" s="141">
        <v>0</v>
      </c>
      <c r="J31" s="141"/>
      <c r="K31" s="142">
        <f t="shared" ref="K31" si="0">+H31*R31</f>
        <v>0</v>
      </c>
      <c r="L31" s="142"/>
      <c r="M31" s="142"/>
      <c r="N31" s="4"/>
      <c r="Q31" s="154">
        <f t="shared" ref="Q31" si="1">+INT(I31/3)</f>
        <v>0</v>
      </c>
      <c r="R31" s="154">
        <f t="shared" ref="R31" si="2">+I31-Q31</f>
        <v>0</v>
      </c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114" t="s">
        <v>0</v>
      </c>
      <c r="H32" s="83">
        <v>15</v>
      </c>
      <c r="I32" s="141">
        <v>0</v>
      </c>
      <c r="J32" s="141"/>
      <c r="K32" s="142">
        <f t="shared" ref="K32:K33" si="3">+H32*R32</f>
        <v>0</v>
      </c>
      <c r="L32" s="142"/>
      <c r="M32" s="142"/>
      <c r="N32" s="4"/>
      <c r="Q32" s="154">
        <f t="shared" ref="Q32:Q33" si="4">+INT(I32/3)</f>
        <v>0</v>
      </c>
      <c r="R32" s="154">
        <f t="shared" ref="R32:R33" si="5">+I32-Q32</f>
        <v>0</v>
      </c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113" t="s">
        <v>0</v>
      </c>
      <c r="H33" s="85">
        <v>15</v>
      </c>
      <c r="I33" s="141">
        <v>0</v>
      </c>
      <c r="J33" s="141"/>
      <c r="K33" s="142">
        <f t="shared" si="3"/>
        <v>0</v>
      </c>
      <c r="L33" s="142"/>
      <c r="M33" s="142"/>
      <c r="N33" s="4"/>
      <c r="Q33" s="154">
        <f t="shared" si="4"/>
        <v>0</v>
      </c>
      <c r="R33" s="154">
        <f t="shared" si="5"/>
        <v>0</v>
      </c>
    </row>
    <row r="34" spans="2:18">
      <c r="B34" s="75"/>
      <c r="C34" s="76"/>
      <c r="D34" s="77"/>
      <c r="E34" s="77"/>
      <c r="F34" s="77"/>
      <c r="G34" s="115"/>
      <c r="H34" s="78"/>
      <c r="I34" s="78"/>
      <c r="J34" s="78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111"/>
      <c r="H35" s="57"/>
      <c r="I35" s="57"/>
      <c r="J35" s="57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424</v>
      </c>
      <c r="D36" s="94"/>
      <c r="E36" s="96" t="s">
        <v>278</v>
      </c>
      <c r="F36" s="96"/>
      <c r="G36" s="112" t="s">
        <v>289</v>
      </c>
      <c r="H36" s="95" t="s">
        <v>425</v>
      </c>
      <c r="I36" s="123" t="s">
        <v>426</v>
      </c>
      <c r="J36" s="124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113" t="s">
        <v>0</v>
      </c>
      <c r="H37" s="85">
        <v>18</v>
      </c>
      <c r="I37" s="150">
        <v>0</v>
      </c>
      <c r="J37" s="150"/>
      <c r="K37" s="142">
        <f t="shared" ref="K37:K40" si="6">+H37*I37</f>
        <v>0</v>
      </c>
      <c r="L37" s="142"/>
      <c r="M37" s="142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114" t="s">
        <v>0</v>
      </c>
      <c r="H38" s="83">
        <v>18</v>
      </c>
      <c r="I38" s="150">
        <v>0</v>
      </c>
      <c r="J38" s="150"/>
      <c r="K38" s="143">
        <f t="shared" si="6"/>
        <v>0</v>
      </c>
      <c r="L38" s="143"/>
      <c r="M38" s="143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113" t="s">
        <v>0</v>
      </c>
      <c r="H39" s="85">
        <v>18</v>
      </c>
      <c r="I39" s="150">
        <v>0</v>
      </c>
      <c r="J39" s="150"/>
      <c r="K39" s="142">
        <f t="shared" si="6"/>
        <v>0</v>
      </c>
      <c r="L39" s="142"/>
      <c r="M39" s="142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114" t="s">
        <v>0</v>
      </c>
      <c r="H40" s="83">
        <v>18</v>
      </c>
      <c r="I40" s="150">
        <v>0</v>
      </c>
      <c r="J40" s="150"/>
      <c r="K40" s="143">
        <f t="shared" si="6"/>
        <v>0</v>
      </c>
      <c r="L40" s="143"/>
      <c r="M40" s="143"/>
      <c r="N40" s="4"/>
    </row>
    <row r="41" spans="2:18">
      <c r="B41" s="75"/>
      <c r="C41" s="76"/>
      <c r="D41" s="77"/>
      <c r="E41" s="77"/>
      <c r="F41" s="77"/>
      <c r="G41" s="115"/>
      <c r="H41" s="78"/>
      <c r="I41" s="78"/>
      <c r="J41" s="78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111"/>
      <c r="H42" s="57"/>
      <c r="I42" s="57"/>
      <c r="J42" s="57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424</v>
      </c>
      <c r="D43" s="94"/>
      <c r="E43" s="96" t="s">
        <v>278</v>
      </c>
      <c r="F43" s="96"/>
      <c r="G43" s="112" t="s">
        <v>289</v>
      </c>
      <c r="H43" s="95" t="s">
        <v>425</v>
      </c>
      <c r="I43" s="123" t="s">
        <v>426</v>
      </c>
      <c r="J43" s="124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113" t="s">
        <v>0</v>
      </c>
      <c r="H44" s="85">
        <v>18</v>
      </c>
      <c r="I44" s="150">
        <v>0</v>
      </c>
      <c r="J44" s="150"/>
      <c r="K44" s="142">
        <f t="shared" ref="K44:K48" si="7">+H44*I44</f>
        <v>0</v>
      </c>
      <c r="L44" s="142"/>
      <c r="M44" s="142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114" t="s">
        <v>0</v>
      </c>
      <c r="H45" s="83">
        <v>18</v>
      </c>
      <c r="I45" s="150">
        <v>0</v>
      </c>
      <c r="J45" s="150"/>
      <c r="K45" s="143">
        <f t="shared" si="7"/>
        <v>0</v>
      </c>
      <c r="L45" s="143"/>
      <c r="M45" s="143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113" t="s">
        <v>0</v>
      </c>
      <c r="H46" s="85">
        <v>18</v>
      </c>
      <c r="I46" s="150">
        <v>0</v>
      </c>
      <c r="J46" s="150"/>
      <c r="K46" s="142">
        <f t="shared" si="7"/>
        <v>0</v>
      </c>
      <c r="L46" s="142"/>
      <c r="M46" s="142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114" t="s">
        <v>0</v>
      </c>
      <c r="H47" s="83">
        <v>18</v>
      </c>
      <c r="I47" s="150">
        <v>0</v>
      </c>
      <c r="J47" s="150"/>
      <c r="K47" s="143">
        <f t="shared" si="7"/>
        <v>0</v>
      </c>
      <c r="L47" s="143"/>
      <c r="M47" s="143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113" t="s">
        <v>0</v>
      </c>
      <c r="H48" s="85">
        <v>18</v>
      </c>
      <c r="I48" s="150">
        <v>0</v>
      </c>
      <c r="J48" s="150"/>
      <c r="K48" s="142">
        <f t="shared" si="7"/>
        <v>0</v>
      </c>
      <c r="L48" s="142"/>
      <c r="M48" s="142"/>
      <c r="N48" s="4"/>
    </row>
    <row r="49" spans="2:18">
      <c r="B49" s="76"/>
      <c r="C49" s="76"/>
      <c r="D49" s="77"/>
      <c r="E49" s="77"/>
      <c r="F49" s="77"/>
      <c r="G49" s="115"/>
      <c r="H49" s="78"/>
      <c r="I49" s="78"/>
      <c r="J49" s="78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111"/>
      <c r="H50" s="57"/>
      <c r="I50" s="57"/>
      <c r="J50" s="57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424</v>
      </c>
      <c r="D51" s="94"/>
      <c r="E51" s="96" t="s">
        <v>278</v>
      </c>
      <c r="F51" s="96"/>
      <c r="G51" s="112" t="s">
        <v>289</v>
      </c>
      <c r="H51" s="95" t="s">
        <v>425</v>
      </c>
      <c r="I51" s="123" t="s">
        <v>426</v>
      </c>
      <c r="J51" s="124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113" t="s">
        <v>0</v>
      </c>
      <c r="H52" s="85">
        <v>15</v>
      </c>
      <c r="I52" s="141">
        <v>0</v>
      </c>
      <c r="J52" s="141"/>
      <c r="K52" s="142">
        <f t="shared" ref="K52:K57" si="8">+H52*R52</f>
        <v>0</v>
      </c>
      <c r="L52" s="142"/>
      <c r="M52" s="142"/>
      <c r="N52" s="4"/>
      <c r="Q52" s="154">
        <f t="shared" ref="Q52:Q57" si="9">+INT(I52/3)</f>
        <v>0</v>
      </c>
      <c r="R52" s="154">
        <f t="shared" ref="R52:R57" si="10">+I52-Q52</f>
        <v>0</v>
      </c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114" t="s">
        <v>0</v>
      </c>
      <c r="H53" s="83">
        <v>15</v>
      </c>
      <c r="I53" s="141">
        <v>0</v>
      </c>
      <c r="J53" s="141"/>
      <c r="K53" s="142">
        <f t="shared" si="8"/>
        <v>0</v>
      </c>
      <c r="L53" s="142"/>
      <c r="M53" s="142"/>
      <c r="N53" s="4"/>
      <c r="Q53" s="154">
        <f t="shared" si="9"/>
        <v>0</v>
      </c>
      <c r="R53" s="154">
        <f t="shared" si="10"/>
        <v>0</v>
      </c>
    </row>
    <row r="54" spans="2:18">
      <c r="B54" s="54" t="s">
        <v>84</v>
      </c>
      <c r="C54" s="39" t="s">
        <v>245</v>
      </c>
      <c r="D54" s="11"/>
      <c r="E54" s="25" t="s">
        <v>246</v>
      </c>
      <c r="F54" s="11"/>
      <c r="G54" s="113" t="s">
        <v>0</v>
      </c>
      <c r="H54" s="85">
        <v>30</v>
      </c>
      <c r="I54" s="141">
        <v>0</v>
      </c>
      <c r="J54" s="141"/>
      <c r="K54" s="142">
        <f t="shared" si="8"/>
        <v>0</v>
      </c>
      <c r="L54" s="142"/>
      <c r="M54" s="142"/>
      <c r="N54" s="4"/>
      <c r="Q54" s="154">
        <f t="shared" si="9"/>
        <v>0</v>
      </c>
      <c r="R54" s="154">
        <f t="shared" si="10"/>
        <v>0</v>
      </c>
    </row>
    <row r="55" spans="2:18">
      <c r="B55" s="54" t="s">
        <v>85</v>
      </c>
      <c r="C55" s="40" t="s">
        <v>88</v>
      </c>
      <c r="D55" s="7"/>
      <c r="E55" s="22" t="s">
        <v>247</v>
      </c>
      <c r="F55" s="7"/>
      <c r="G55" s="114" t="s">
        <v>0</v>
      </c>
      <c r="H55" s="83">
        <v>24</v>
      </c>
      <c r="I55" s="141">
        <v>0</v>
      </c>
      <c r="J55" s="141"/>
      <c r="K55" s="142">
        <f t="shared" si="8"/>
        <v>0</v>
      </c>
      <c r="L55" s="142"/>
      <c r="M55" s="142"/>
      <c r="N55" s="4"/>
      <c r="Q55" s="154">
        <f t="shared" si="9"/>
        <v>0</v>
      </c>
      <c r="R55" s="154">
        <f t="shared" si="10"/>
        <v>0</v>
      </c>
    </row>
    <row r="56" spans="2:18">
      <c r="B56" s="54" t="s">
        <v>86</v>
      </c>
      <c r="C56" s="39" t="s">
        <v>89</v>
      </c>
      <c r="D56" s="11"/>
      <c r="E56" s="25" t="s">
        <v>248</v>
      </c>
      <c r="F56" s="11"/>
      <c r="G56" s="113" t="s">
        <v>0</v>
      </c>
      <c r="H56" s="85">
        <v>18</v>
      </c>
      <c r="I56" s="141">
        <v>0</v>
      </c>
      <c r="J56" s="141"/>
      <c r="K56" s="142">
        <f t="shared" si="8"/>
        <v>0</v>
      </c>
      <c r="L56" s="142"/>
      <c r="M56" s="142"/>
      <c r="N56" s="4"/>
      <c r="Q56" s="154">
        <f t="shared" si="9"/>
        <v>0</v>
      </c>
      <c r="R56" s="154">
        <f t="shared" si="10"/>
        <v>0</v>
      </c>
    </row>
    <row r="57" spans="2:18">
      <c r="B57" s="54" t="s">
        <v>87</v>
      </c>
      <c r="C57" s="40" t="s">
        <v>90</v>
      </c>
      <c r="D57" s="7"/>
      <c r="E57" s="22" t="s">
        <v>249</v>
      </c>
      <c r="F57" s="7"/>
      <c r="G57" s="114" t="s">
        <v>0</v>
      </c>
      <c r="H57" s="83">
        <v>18</v>
      </c>
      <c r="I57" s="141">
        <v>0</v>
      </c>
      <c r="J57" s="141"/>
      <c r="K57" s="142">
        <f t="shared" si="8"/>
        <v>0</v>
      </c>
      <c r="L57" s="142"/>
      <c r="M57" s="142"/>
      <c r="N57" s="4"/>
      <c r="Q57" s="154">
        <f t="shared" si="9"/>
        <v>0</v>
      </c>
      <c r="R57" s="154">
        <f t="shared" si="10"/>
        <v>0</v>
      </c>
    </row>
    <row r="58" spans="2:18">
      <c r="B58" s="75"/>
      <c r="C58" s="76"/>
      <c r="D58" s="77"/>
      <c r="E58" s="77"/>
      <c r="F58" s="77"/>
      <c r="G58" s="115"/>
      <c r="H58" s="78"/>
      <c r="I58" s="78"/>
      <c r="J58" s="78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352</v>
      </c>
      <c r="D59" s="2"/>
      <c r="E59" s="3"/>
      <c r="F59" s="3"/>
      <c r="G59" s="111"/>
      <c r="H59" s="57"/>
      <c r="I59" s="57"/>
      <c r="J59" s="57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424</v>
      </c>
      <c r="D60" s="94"/>
      <c r="E60" s="96" t="s">
        <v>278</v>
      </c>
      <c r="F60" s="96"/>
      <c r="G60" s="112" t="s">
        <v>289</v>
      </c>
      <c r="H60" s="95" t="s">
        <v>425</v>
      </c>
      <c r="I60" s="123" t="s">
        <v>426</v>
      </c>
      <c r="J60" s="124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116" t="s">
        <v>2</v>
      </c>
      <c r="H61" s="87">
        <v>6</v>
      </c>
      <c r="I61" s="151">
        <v>0</v>
      </c>
      <c r="J61" s="151"/>
      <c r="K61" s="145">
        <f t="shared" ref="K61:K64" si="11">+H61*I61</f>
        <v>0</v>
      </c>
      <c r="L61" s="145"/>
      <c r="M61" s="145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117" t="s">
        <v>2</v>
      </c>
      <c r="H62" s="89">
        <v>6</v>
      </c>
      <c r="I62" s="151">
        <v>0</v>
      </c>
      <c r="J62" s="151"/>
      <c r="K62" s="146">
        <f t="shared" si="11"/>
        <v>0</v>
      </c>
      <c r="L62" s="146"/>
      <c r="M62" s="146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116" t="s">
        <v>2</v>
      </c>
      <c r="H63" s="87">
        <v>6</v>
      </c>
      <c r="I63" s="151">
        <v>0</v>
      </c>
      <c r="J63" s="151"/>
      <c r="K63" s="145">
        <f t="shared" si="11"/>
        <v>0</v>
      </c>
      <c r="L63" s="145"/>
      <c r="M63" s="145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117" t="s">
        <v>2</v>
      </c>
      <c r="H64" s="89">
        <v>6</v>
      </c>
      <c r="I64" s="151">
        <v>0</v>
      </c>
      <c r="J64" s="151"/>
      <c r="K64" s="146">
        <f t="shared" si="11"/>
        <v>0</v>
      </c>
      <c r="L64" s="146"/>
      <c r="M64" s="146"/>
      <c r="N64" s="4"/>
    </row>
    <row r="65" spans="2:18">
      <c r="B65" s="75"/>
      <c r="C65" s="76"/>
      <c r="D65" s="77"/>
      <c r="E65" s="77"/>
      <c r="F65" s="77"/>
      <c r="G65" s="115"/>
      <c r="H65" s="78"/>
      <c r="I65" s="78"/>
      <c r="J65" s="78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351</v>
      </c>
      <c r="D66" s="2"/>
      <c r="E66" s="3"/>
      <c r="F66" s="3"/>
      <c r="G66" s="111"/>
      <c r="H66" s="57"/>
      <c r="I66" s="57"/>
      <c r="J66" s="57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424</v>
      </c>
      <c r="D67" s="94"/>
      <c r="E67" s="96" t="s">
        <v>278</v>
      </c>
      <c r="F67" s="96"/>
      <c r="G67" s="112" t="s">
        <v>289</v>
      </c>
      <c r="H67" s="95" t="s">
        <v>425</v>
      </c>
      <c r="I67" s="123" t="s">
        <v>426</v>
      </c>
      <c r="J67" s="124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118" t="s">
        <v>96</v>
      </c>
      <c r="H68" s="91">
        <v>20</v>
      </c>
      <c r="I68" s="150">
        <v>0</v>
      </c>
      <c r="J68" s="150"/>
      <c r="K68" s="147">
        <f t="shared" ref="K68:K69" si="12">+H68*I68</f>
        <v>0</v>
      </c>
      <c r="L68" s="147"/>
      <c r="M68" s="147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113" t="s">
        <v>96</v>
      </c>
      <c r="H69" s="85">
        <v>20</v>
      </c>
      <c r="I69" s="150">
        <v>0</v>
      </c>
      <c r="J69" s="150"/>
      <c r="K69" s="142">
        <f t="shared" si="12"/>
        <v>0</v>
      </c>
      <c r="L69" s="142"/>
      <c r="M69" s="142"/>
      <c r="N69" s="4"/>
    </row>
    <row r="70" spans="2:18">
      <c r="B70" s="75"/>
      <c r="C70" s="76"/>
      <c r="D70" s="77"/>
      <c r="E70" s="77"/>
      <c r="F70" s="77"/>
      <c r="G70" s="115"/>
      <c r="H70" s="78"/>
      <c r="I70" s="78"/>
      <c r="J70" s="78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111"/>
      <c r="H71" s="57"/>
      <c r="I71" s="57"/>
      <c r="J71" s="57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424</v>
      </c>
      <c r="D72" s="94"/>
      <c r="E72" s="96" t="s">
        <v>278</v>
      </c>
      <c r="F72" s="96"/>
      <c r="G72" s="112" t="s">
        <v>289</v>
      </c>
      <c r="H72" s="95" t="s">
        <v>425</v>
      </c>
      <c r="I72" s="123" t="s">
        <v>426</v>
      </c>
      <c r="J72" s="124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113" t="s">
        <v>0</v>
      </c>
      <c r="H73" s="85">
        <v>20</v>
      </c>
      <c r="I73" s="141">
        <v>0</v>
      </c>
      <c r="J73" s="141"/>
      <c r="K73" s="142">
        <f t="shared" ref="K73:K75" si="13">+H73*R73</f>
        <v>0</v>
      </c>
      <c r="L73" s="142"/>
      <c r="M73" s="142"/>
      <c r="N73" s="4"/>
      <c r="Q73" s="154">
        <f t="shared" ref="Q73:Q75" si="14">+INT(I73/3)</f>
        <v>0</v>
      </c>
      <c r="R73" s="154">
        <f t="shared" ref="R73:R75" si="15">+I73-Q73</f>
        <v>0</v>
      </c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114" t="s">
        <v>0</v>
      </c>
      <c r="H74" s="83">
        <v>20</v>
      </c>
      <c r="I74" s="141">
        <v>0</v>
      </c>
      <c r="J74" s="141"/>
      <c r="K74" s="142">
        <f t="shared" si="13"/>
        <v>0</v>
      </c>
      <c r="L74" s="142"/>
      <c r="M74" s="142"/>
      <c r="N74" s="4"/>
      <c r="Q74" s="154">
        <f t="shared" si="14"/>
        <v>0</v>
      </c>
      <c r="R74" s="154">
        <f t="shared" si="15"/>
        <v>0</v>
      </c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113" t="s">
        <v>0</v>
      </c>
      <c r="H75" s="85">
        <v>20</v>
      </c>
      <c r="I75" s="141">
        <v>0</v>
      </c>
      <c r="J75" s="141"/>
      <c r="K75" s="142">
        <f t="shared" si="13"/>
        <v>0</v>
      </c>
      <c r="L75" s="142"/>
      <c r="M75" s="142"/>
      <c r="N75" s="4"/>
      <c r="Q75" s="154">
        <f t="shared" si="14"/>
        <v>0</v>
      </c>
      <c r="R75" s="154">
        <f t="shared" si="15"/>
        <v>0</v>
      </c>
    </row>
    <row r="76" spans="2:18">
      <c r="B76" s="75"/>
      <c r="C76" s="76"/>
      <c r="D76" s="77"/>
      <c r="E76" s="77"/>
      <c r="F76" s="77"/>
      <c r="G76" s="115"/>
      <c r="H76" s="78"/>
      <c r="I76" s="78"/>
      <c r="J76" s="78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353</v>
      </c>
      <c r="D77" s="2"/>
      <c r="E77" s="3"/>
      <c r="F77" s="3"/>
      <c r="G77" s="111"/>
      <c r="H77" s="57"/>
      <c r="I77" s="57"/>
      <c r="J77" s="57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424</v>
      </c>
      <c r="D78" s="94"/>
      <c r="E78" s="96" t="s">
        <v>278</v>
      </c>
      <c r="F78" s="96"/>
      <c r="G78" s="112" t="s">
        <v>289</v>
      </c>
      <c r="H78" s="95" t="s">
        <v>425</v>
      </c>
      <c r="I78" s="123" t="s">
        <v>426</v>
      </c>
      <c r="J78" s="124"/>
      <c r="K78" s="96"/>
      <c r="L78" s="96"/>
      <c r="M78" s="96"/>
      <c r="N78" s="19"/>
    </row>
    <row r="79" spans="2:18">
      <c r="B79" s="54" t="s">
        <v>103</v>
      </c>
      <c r="C79" s="46" t="s">
        <v>368</v>
      </c>
      <c r="E79" s="100" t="s">
        <v>112</v>
      </c>
      <c r="F79" s="7"/>
      <c r="G79" s="114" t="s">
        <v>107</v>
      </c>
      <c r="H79" s="83">
        <v>8</v>
      </c>
      <c r="I79" s="150">
        <v>0</v>
      </c>
      <c r="J79" s="150"/>
      <c r="K79" s="143">
        <f t="shared" ref="K79:K86" si="16">+H79*I79</f>
        <v>0</v>
      </c>
      <c r="L79" s="143"/>
      <c r="M79" s="143"/>
      <c r="N79" s="4"/>
    </row>
    <row r="80" spans="2:18">
      <c r="B80" s="54" t="s">
        <v>104</v>
      </c>
      <c r="C80" s="47" t="s">
        <v>373</v>
      </c>
      <c r="D80" s="33"/>
      <c r="E80" s="99" t="s">
        <v>112</v>
      </c>
      <c r="F80" s="9"/>
      <c r="G80" s="119" t="s">
        <v>107</v>
      </c>
      <c r="H80" s="81">
        <v>8</v>
      </c>
      <c r="I80" s="150">
        <v>0</v>
      </c>
      <c r="J80" s="150"/>
      <c r="K80" s="144">
        <f t="shared" si="16"/>
        <v>0</v>
      </c>
      <c r="L80" s="144"/>
      <c r="M80" s="144"/>
      <c r="N80" s="4"/>
    </row>
    <row r="81" spans="2:18">
      <c r="B81" s="54" t="s">
        <v>105</v>
      </c>
      <c r="C81" s="133" t="s">
        <v>369</v>
      </c>
      <c r="E81" s="100" t="s">
        <v>112</v>
      </c>
      <c r="F81" s="7"/>
      <c r="G81" s="114" t="s">
        <v>107</v>
      </c>
      <c r="H81" s="83">
        <v>8</v>
      </c>
      <c r="I81" s="150">
        <v>0</v>
      </c>
      <c r="J81" s="150"/>
      <c r="K81" s="143">
        <f t="shared" si="16"/>
        <v>0</v>
      </c>
      <c r="L81" s="143"/>
      <c r="M81" s="143"/>
      <c r="N81" s="4"/>
    </row>
    <row r="82" spans="2:18">
      <c r="B82" s="54" t="s">
        <v>106</v>
      </c>
      <c r="C82" s="137" t="s">
        <v>370</v>
      </c>
      <c r="D82" s="33"/>
      <c r="E82" s="99" t="s">
        <v>112</v>
      </c>
      <c r="F82" s="9"/>
      <c r="G82" s="119" t="s">
        <v>253</v>
      </c>
      <c r="H82" s="81">
        <v>8</v>
      </c>
      <c r="I82" s="150">
        <v>0</v>
      </c>
      <c r="J82" s="150"/>
      <c r="K82" s="144">
        <f t="shared" si="16"/>
        <v>0</v>
      </c>
      <c r="L82" s="144"/>
      <c r="M82" s="144"/>
      <c r="N82" s="4"/>
    </row>
    <row r="83" spans="2:18">
      <c r="B83" s="54" t="s">
        <v>258</v>
      </c>
      <c r="C83" s="133" t="s">
        <v>371</v>
      </c>
      <c r="E83" s="100" t="s">
        <v>113</v>
      </c>
      <c r="F83" s="7"/>
      <c r="G83" s="114" t="s">
        <v>114</v>
      </c>
      <c r="H83" s="83">
        <v>6</v>
      </c>
      <c r="I83" s="150">
        <v>0</v>
      </c>
      <c r="J83" s="150"/>
      <c r="K83" s="143">
        <f t="shared" si="16"/>
        <v>0</v>
      </c>
      <c r="L83" s="143"/>
      <c r="M83" s="143"/>
      <c r="N83" s="4"/>
    </row>
    <row r="84" spans="2:18">
      <c r="B84" s="54" t="s">
        <v>259</v>
      </c>
      <c r="C84" s="137" t="s">
        <v>372</v>
      </c>
      <c r="D84" s="33"/>
      <c r="E84" s="99" t="s">
        <v>113</v>
      </c>
      <c r="F84" s="9"/>
      <c r="G84" s="119" t="s">
        <v>114</v>
      </c>
      <c r="H84" s="81">
        <v>6</v>
      </c>
      <c r="I84" s="150">
        <v>0</v>
      </c>
      <c r="J84" s="150"/>
      <c r="K84" s="144">
        <f t="shared" si="16"/>
        <v>0</v>
      </c>
      <c r="L84" s="144"/>
      <c r="M84" s="144"/>
      <c r="N84" s="4"/>
    </row>
    <row r="85" spans="2:18">
      <c r="B85" s="54" t="s">
        <v>260</v>
      </c>
      <c r="C85" s="133" t="s">
        <v>374</v>
      </c>
      <c r="E85" s="100" t="s">
        <v>113</v>
      </c>
      <c r="F85" s="7"/>
      <c r="G85" s="114" t="s">
        <v>114</v>
      </c>
      <c r="H85" s="83">
        <v>6</v>
      </c>
      <c r="I85" s="150">
        <v>0</v>
      </c>
      <c r="J85" s="150"/>
      <c r="K85" s="143">
        <f t="shared" si="16"/>
        <v>0</v>
      </c>
      <c r="L85" s="143"/>
      <c r="M85" s="143"/>
      <c r="N85" s="4"/>
    </row>
    <row r="86" spans="2:18">
      <c r="B86" s="54" t="s">
        <v>261</v>
      </c>
      <c r="C86" s="137" t="s">
        <v>375</v>
      </c>
      <c r="D86" s="33"/>
      <c r="E86" s="99" t="s">
        <v>113</v>
      </c>
      <c r="F86" s="9"/>
      <c r="G86" s="119" t="s">
        <v>114</v>
      </c>
      <c r="H86" s="81">
        <v>6</v>
      </c>
      <c r="I86" s="150">
        <v>0</v>
      </c>
      <c r="J86" s="150"/>
      <c r="K86" s="144">
        <f t="shared" si="16"/>
        <v>0</v>
      </c>
      <c r="L86" s="144"/>
      <c r="M86" s="144"/>
      <c r="N86" s="4"/>
    </row>
    <row r="87" spans="2:18">
      <c r="B87" s="76"/>
      <c r="C87" s="76"/>
      <c r="D87" s="77"/>
      <c r="E87" s="77"/>
      <c r="F87" s="77"/>
      <c r="G87" s="115"/>
      <c r="H87" s="78"/>
      <c r="I87" s="78"/>
      <c r="J87" s="78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298</v>
      </c>
      <c r="D88" s="2"/>
      <c r="E88" s="3"/>
      <c r="F88" s="3"/>
      <c r="G88" s="111"/>
      <c r="H88" s="57"/>
      <c r="I88" s="57"/>
      <c r="J88" s="57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424</v>
      </c>
      <c r="D89" s="94"/>
      <c r="E89" s="96" t="s">
        <v>278</v>
      </c>
      <c r="F89" s="96"/>
      <c r="G89" s="112" t="s">
        <v>289</v>
      </c>
      <c r="H89" s="95" t="s">
        <v>425</v>
      </c>
      <c r="I89" s="123" t="s">
        <v>426</v>
      </c>
      <c r="J89" s="124"/>
      <c r="K89" s="96"/>
      <c r="L89" s="96"/>
      <c r="M89" s="96"/>
      <c r="N89" s="19"/>
    </row>
    <row r="90" spans="2:18">
      <c r="B90" s="54" t="s">
        <v>125</v>
      </c>
      <c r="C90" s="46" t="s">
        <v>376</v>
      </c>
      <c r="D90" s="20"/>
      <c r="E90" s="7"/>
      <c r="F90" s="7"/>
      <c r="G90" s="114" t="s">
        <v>123</v>
      </c>
      <c r="H90" s="83">
        <v>6</v>
      </c>
      <c r="I90" s="150">
        <v>0</v>
      </c>
      <c r="J90" s="150"/>
      <c r="K90" s="143">
        <f t="shared" ref="K90:K95" si="17">+H90*I90</f>
        <v>0</v>
      </c>
      <c r="L90" s="143"/>
      <c r="M90" s="143"/>
      <c r="N90" s="4"/>
    </row>
    <row r="91" spans="2:18">
      <c r="B91" s="54" t="s">
        <v>126</v>
      </c>
      <c r="C91" s="47" t="s">
        <v>377</v>
      </c>
      <c r="D91" s="33"/>
      <c r="E91" s="9"/>
      <c r="F91" s="9"/>
      <c r="G91" s="119" t="s">
        <v>256</v>
      </c>
      <c r="H91" s="81">
        <v>6</v>
      </c>
      <c r="I91" s="150">
        <v>0</v>
      </c>
      <c r="J91" s="150"/>
      <c r="K91" s="144">
        <f t="shared" si="17"/>
        <v>0</v>
      </c>
      <c r="L91" s="144"/>
      <c r="M91" s="144"/>
      <c r="N91" s="4"/>
    </row>
    <row r="92" spans="2:18">
      <c r="B92" s="54" t="s">
        <v>127</v>
      </c>
      <c r="C92" s="46" t="s">
        <v>379</v>
      </c>
      <c r="D92" s="20"/>
      <c r="E92" s="7"/>
      <c r="F92" s="7"/>
      <c r="G92" s="114" t="s">
        <v>15</v>
      </c>
      <c r="H92" s="83">
        <v>6</v>
      </c>
      <c r="I92" s="150">
        <v>0</v>
      </c>
      <c r="J92" s="150"/>
      <c r="K92" s="143">
        <f t="shared" si="17"/>
        <v>0</v>
      </c>
      <c r="L92" s="143"/>
      <c r="M92" s="143"/>
      <c r="N92" s="4"/>
    </row>
    <row r="93" spans="2:18">
      <c r="B93" s="54" t="s">
        <v>128</v>
      </c>
      <c r="C93" s="47" t="s">
        <v>379</v>
      </c>
      <c r="D93" s="33"/>
      <c r="E93" s="9"/>
      <c r="F93" s="9"/>
      <c r="G93" s="119" t="s">
        <v>124</v>
      </c>
      <c r="H93" s="81">
        <v>3.5</v>
      </c>
      <c r="I93" s="150">
        <v>0</v>
      </c>
      <c r="J93" s="150"/>
      <c r="K93" s="144">
        <f t="shared" si="17"/>
        <v>0</v>
      </c>
      <c r="L93" s="144"/>
      <c r="M93" s="144"/>
      <c r="N93" s="4"/>
    </row>
    <row r="94" spans="2:18">
      <c r="B94" s="54" t="s">
        <v>129</v>
      </c>
      <c r="C94" s="46" t="s">
        <v>378</v>
      </c>
      <c r="D94" s="20"/>
      <c r="E94" s="7"/>
      <c r="F94" s="7"/>
      <c r="G94" s="114" t="s">
        <v>15</v>
      </c>
      <c r="H94" s="83">
        <v>6</v>
      </c>
      <c r="I94" s="150">
        <v>0</v>
      </c>
      <c r="J94" s="150"/>
      <c r="K94" s="143">
        <f t="shared" si="17"/>
        <v>0</v>
      </c>
      <c r="L94" s="143"/>
      <c r="M94" s="143"/>
      <c r="N94" s="4"/>
    </row>
    <row r="95" spans="2:18">
      <c r="B95" s="54" t="s">
        <v>130</v>
      </c>
      <c r="C95" s="47" t="s">
        <v>378</v>
      </c>
      <c r="D95" s="33"/>
      <c r="E95" s="9"/>
      <c r="F95" s="9"/>
      <c r="G95" s="119" t="s">
        <v>124</v>
      </c>
      <c r="H95" s="81">
        <v>3.5</v>
      </c>
      <c r="I95" s="150">
        <v>0</v>
      </c>
      <c r="J95" s="150"/>
      <c r="K95" s="144">
        <f t="shared" si="17"/>
        <v>0</v>
      </c>
      <c r="L95" s="144"/>
      <c r="M95" s="144"/>
      <c r="N95" s="4"/>
    </row>
    <row r="96" spans="2:18">
      <c r="B96" s="76"/>
      <c r="C96" s="76"/>
      <c r="D96" s="77"/>
      <c r="E96" s="77"/>
      <c r="F96" s="77"/>
      <c r="G96" s="115"/>
      <c r="H96" s="78"/>
      <c r="I96" s="78"/>
      <c r="J96" s="78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111"/>
      <c r="H97" s="57"/>
      <c r="I97" s="57"/>
      <c r="J97" s="57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424</v>
      </c>
      <c r="D98" s="94"/>
      <c r="E98" s="96" t="s">
        <v>278</v>
      </c>
      <c r="F98" s="96"/>
      <c r="G98" s="112" t="s">
        <v>289</v>
      </c>
      <c r="H98" s="95" t="s">
        <v>425</v>
      </c>
      <c r="I98" s="123" t="s">
        <v>426</v>
      </c>
      <c r="J98" s="124"/>
      <c r="K98" s="96"/>
      <c r="L98" s="96"/>
      <c r="M98" s="96"/>
      <c r="N98" s="19"/>
    </row>
    <row r="99" spans="2:18">
      <c r="B99" s="54" t="s">
        <v>133</v>
      </c>
      <c r="C99" s="65" t="s">
        <v>310</v>
      </c>
      <c r="D99" s="66" t="s">
        <v>1</v>
      </c>
      <c r="E99" s="8" t="s">
        <v>380</v>
      </c>
      <c r="F99" s="9"/>
      <c r="G99" s="119" t="s">
        <v>131</v>
      </c>
      <c r="H99" s="81">
        <v>55</v>
      </c>
      <c r="I99" s="150">
        <v>0</v>
      </c>
      <c r="J99" s="150"/>
      <c r="K99" s="144">
        <f t="shared" ref="K99:K101" si="18">+H99*I99</f>
        <v>0</v>
      </c>
      <c r="L99" s="144"/>
      <c r="M99" s="144"/>
      <c r="N99" s="4"/>
    </row>
    <row r="100" spans="2:18">
      <c r="B100" s="54" t="s">
        <v>134</v>
      </c>
      <c r="C100" s="36" t="s">
        <v>310</v>
      </c>
      <c r="D100" s="7"/>
      <c r="E100" s="22" t="s">
        <v>380</v>
      </c>
      <c r="F100" s="7"/>
      <c r="G100" s="114" t="s">
        <v>132</v>
      </c>
      <c r="H100" s="83">
        <v>37.5</v>
      </c>
      <c r="I100" s="150">
        <v>0</v>
      </c>
      <c r="J100" s="150"/>
      <c r="K100" s="143">
        <f t="shared" si="18"/>
        <v>0</v>
      </c>
      <c r="L100" s="143"/>
      <c r="M100" s="143"/>
      <c r="N100" s="4"/>
    </row>
    <row r="101" spans="2:18">
      <c r="B101" s="54" t="s">
        <v>135</v>
      </c>
      <c r="C101" s="65" t="s">
        <v>310</v>
      </c>
      <c r="D101" s="66" t="s">
        <v>1</v>
      </c>
      <c r="E101" s="8" t="s">
        <v>381</v>
      </c>
      <c r="F101" s="9"/>
      <c r="G101" s="119" t="s">
        <v>40</v>
      </c>
      <c r="H101" s="81">
        <v>9</v>
      </c>
      <c r="I101" s="150">
        <v>0</v>
      </c>
      <c r="J101" s="150"/>
      <c r="K101" s="144">
        <f t="shared" si="18"/>
        <v>0</v>
      </c>
      <c r="L101" s="144"/>
      <c r="M101" s="144"/>
      <c r="N101" s="4"/>
    </row>
    <row r="102" spans="2:18">
      <c r="B102" s="75"/>
      <c r="C102" s="76"/>
      <c r="D102" s="77"/>
      <c r="E102" s="77"/>
      <c r="F102" s="77"/>
      <c r="G102" s="115"/>
      <c r="H102" s="78"/>
      <c r="I102" s="78"/>
      <c r="J102" s="78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354</v>
      </c>
      <c r="D103" s="1"/>
      <c r="E103" s="1"/>
      <c r="F103" s="1"/>
      <c r="G103" s="120"/>
      <c r="H103" s="57"/>
      <c r="I103" s="57"/>
      <c r="J103" s="57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424</v>
      </c>
      <c r="D104" s="94"/>
      <c r="E104" s="96" t="s">
        <v>278</v>
      </c>
      <c r="F104" s="96"/>
      <c r="G104" s="112" t="s">
        <v>289</v>
      </c>
      <c r="H104" s="95" t="s">
        <v>425</v>
      </c>
      <c r="I104" s="123" t="s">
        <v>426</v>
      </c>
      <c r="J104" s="124"/>
      <c r="K104" s="96"/>
      <c r="L104" s="96"/>
      <c r="M104" s="96"/>
      <c r="N104" s="19"/>
    </row>
    <row r="105" spans="2:18">
      <c r="B105" s="54" t="s">
        <v>136</v>
      </c>
      <c r="C105" s="48" t="s">
        <v>310</v>
      </c>
      <c r="E105" s="101" t="s">
        <v>382</v>
      </c>
      <c r="F105" s="10"/>
      <c r="G105" s="118" t="s">
        <v>22</v>
      </c>
      <c r="H105" s="93">
        <v>9</v>
      </c>
      <c r="I105" s="150">
        <v>0</v>
      </c>
      <c r="J105" s="150"/>
      <c r="K105" s="143">
        <f t="shared" ref="K105:K111" si="19">+H105*I105</f>
        <v>0</v>
      </c>
      <c r="L105" s="143"/>
      <c r="M105" s="143"/>
      <c r="N105" s="4"/>
    </row>
    <row r="106" spans="2:18">
      <c r="B106" s="54" t="s">
        <v>137</v>
      </c>
      <c r="C106" s="49" t="s">
        <v>310</v>
      </c>
      <c r="D106" s="31"/>
      <c r="E106" s="102" t="s">
        <v>383</v>
      </c>
      <c r="F106" s="11"/>
      <c r="G106" s="113" t="s">
        <v>22</v>
      </c>
      <c r="H106" s="85">
        <v>9</v>
      </c>
      <c r="I106" s="150">
        <v>0</v>
      </c>
      <c r="J106" s="150"/>
      <c r="K106" s="142">
        <f t="shared" si="19"/>
        <v>0</v>
      </c>
      <c r="L106" s="142"/>
      <c r="M106" s="142"/>
      <c r="N106" s="4"/>
    </row>
    <row r="107" spans="2:18">
      <c r="B107" s="54" t="s">
        <v>138</v>
      </c>
      <c r="C107" s="48" t="s">
        <v>310</v>
      </c>
      <c r="E107" s="103" t="s">
        <v>384</v>
      </c>
      <c r="F107" s="7"/>
      <c r="G107" s="118" t="s">
        <v>22</v>
      </c>
      <c r="H107" s="93">
        <v>9</v>
      </c>
      <c r="I107" s="150">
        <v>0</v>
      </c>
      <c r="J107" s="150"/>
      <c r="K107" s="143">
        <f t="shared" si="19"/>
        <v>0</v>
      </c>
      <c r="L107" s="143"/>
      <c r="M107" s="143"/>
      <c r="N107" s="4"/>
    </row>
    <row r="108" spans="2:18">
      <c r="B108" s="54" t="s">
        <v>139</v>
      </c>
      <c r="C108" s="49" t="s">
        <v>310</v>
      </c>
      <c r="D108" s="31"/>
      <c r="E108" s="102" t="s">
        <v>385</v>
      </c>
      <c r="F108" s="11"/>
      <c r="G108" s="113" t="s">
        <v>22</v>
      </c>
      <c r="H108" s="85">
        <v>9</v>
      </c>
      <c r="I108" s="150">
        <v>0</v>
      </c>
      <c r="J108" s="150"/>
      <c r="K108" s="142">
        <f t="shared" si="19"/>
        <v>0</v>
      </c>
      <c r="L108" s="142"/>
      <c r="M108" s="142"/>
      <c r="N108" s="4"/>
    </row>
    <row r="109" spans="2:18">
      <c r="B109" s="54" t="s">
        <v>140</v>
      </c>
      <c r="C109" s="48" t="s">
        <v>310</v>
      </c>
      <c r="E109" s="103" t="s">
        <v>286</v>
      </c>
      <c r="F109" s="10"/>
      <c r="G109" s="118" t="s">
        <v>22</v>
      </c>
      <c r="H109" s="93">
        <v>9</v>
      </c>
      <c r="I109" s="150">
        <v>0</v>
      </c>
      <c r="J109" s="150"/>
      <c r="K109" s="143">
        <f t="shared" si="19"/>
        <v>0</v>
      </c>
      <c r="L109" s="143"/>
      <c r="M109" s="143"/>
      <c r="N109" s="4"/>
    </row>
    <row r="110" spans="2:18">
      <c r="B110" s="54" t="s">
        <v>141</v>
      </c>
      <c r="C110" s="49" t="s">
        <v>310</v>
      </c>
      <c r="D110" s="31"/>
      <c r="E110" s="102" t="s">
        <v>386</v>
      </c>
      <c r="F110" s="11"/>
      <c r="G110" s="113" t="s">
        <v>22</v>
      </c>
      <c r="H110" s="85">
        <v>9</v>
      </c>
      <c r="I110" s="150">
        <v>0</v>
      </c>
      <c r="J110" s="150"/>
      <c r="K110" s="142">
        <f t="shared" si="19"/>
        <v>0</v>
      </c>
      <c r="L110" s="142"/>
      <c r="M110" s="142"/>
      <c r="N110" s="4"/>
    </row>
    <row r="111" spans="2:18">
      <c r="B111" s="54" t="s">
        <v>142</v>
      </c>
      <c r="C111" s="48" t="s">
        <v>310</v>
      </c>
      <c r="E111" s="103" t="s">
        <v>387</v>
      </c>
      <c r="F111" s="7"/>
      <c r="G111" s="114" t="s">
        <v>22</v>
      </c>
      <c r="H111" s="83">
        <v>9</v>
      </c>
      <c r="I111" s="151">
        <v>0</v>
      </c>
      <c r="J111" s="151"/>
      <c r="K111" s="143">
        <f t="shared" si="19"/>
        <v>0</v>
      </c>
      <c r="L111" s="143"/>
      <c r="M111" s="143"/>
      <c r="N111" s="4"/>
    </row>
    <row r="112" spans="2:18">
      <c r="B112" s="75"/>
      <c r="C112" s="76"/>
      <c r="D112" s="77"/>
      <c r="E112" s="77"/>
      <c r="F112" s="77"/>
      <c r="G112" s="115"/>
      <c r="H112" s="78"/>
      <c r="I112" s="78"/>
      <c r="J112" s="78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355</v>
      </c>
      <c r="D113" s="2"/>
      <c r="E113" s="3"/>
      <c r="F113" s="3"/>
      <c r="G113" s="111"/>
      <c r="H113" s="57"/>
      <c r="I113" s="57"/>
      <c r="J113" s="57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424</v>
      </c>
      <c r="D114" s="94"/>
      <c r="E114" s="96" t="s">
        <v>278</v>
      </c>
      <c r="F114" s="96"/>
      <c r="G114" s="112" t="s">
        <v>289</v>
      </c>
      <c r="H114" s="95" t="s">
        <v>425</v>
      </c>
      <c r="I114" s="123" t="s">
        <v>426</v>
      </c>
      <c r="J114" s="124"/>
      <c r="K114" s="96"/>
      <c r="L114" s="96"/>
      <c r="M114" s="96"/>
      <c r="N114" s="19"/>
    </row>
    <row r="115" spans="2:18">
      <c r="B115" s="54" t="s">
        <v>145</v>
      </c>
      <c r="C115" s="58" t="s">
        <v>388</v>
      </c>
      <c r="D115" s="9"/>
      <c r="E115" s="59"/>
      <c r="F115" s="9"/>
      <c r="G115" s="119" t="s">
        <v>21</v>
      </c>
      <c r="H115" s="81">
        <v>3.5</v>
      </c>
      <c r="I115" s="150">
        <v>0</v>
      </c>
      <c r="J115" s="150"/>
      <c r="K115" s="144">
        <f t="shared" ref="K115:K116" si="20">+H115*I115</f>
        <v>0</v>
      </c>
      <c r="L115" s="144"/>
      <c r="M115" s="144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114" t="s">
        <v>21</v>
      </c>
      <c r="H116" s="83">
        <v>3.5</v>
      </c>
      <c r="I116" s="150">
        <v>0</v>
      </c>
      <c r="J116" s="150"/>
      <c r="K116" s="143">
        <f t="shared" si="20"/>
        <v>0</v>
      </c>
      <c r="L116" s="143"/>
      <c r="M116" s="143"/>
      <c r="N116" s="4"/>
    </row>
    <row r="117" spans="2:18" ht="29.25" customHeight="1">
      <c r="B117" s="76"/>
      <c r="C117" s="76"/>
      <c r="D117" s="77"/>
      <c r="E117" s="77"/>
      <c r="F117" s="77"/>
      <c r="G117" s="115"/>
      <c r="H117" s="78"/>
      <c r="I117" s="78"/>
      <c r="J117" s="78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356</v>
      </c>
      <c r="D118" s="2"/>
      <c r="E118" s="3"/>
      <c r="F118" s="3"/>
      <c r="G118" s="111"/>
      <c r="H118" s="57"/>
      <c r="I118" s="57"/>
      <c r="J118" s="57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424</v>
      </c>
      <c r="D119" s="94"/>
      <c r="E119" s="96" t="s">
        <v>278</v>
      </c>
      <c r="F119" s="96"/>
      <c r="G119" s="112" t="s">
        <v>289</v>
      </c>
      <c r="H119" s="95" t="s">
        <v>425</v>
      </c>
      <c r="I119" s="123" t="s">
        <v>426</v>
      </c>
      <c r="J119" s="124"/>
      <c r="K119" s="96"/>
      <c r="L119" s="96"/>
      <c r="M119" s="96"/>
      <c r="N119" s="19"/>
    </row>
    <row r="120" spans="2:18">
      <c r="B120" s="54" t="s">
        <v>152</v>
      </c>
      <c r="C120" s="40" t="s">
        <v>390</v>
      </c>
      <c r="D120" s="7"/>
      <c r="E120" s="6"/>
      <c r="F120" s="7"/>
      <c r="G120" s="114" t="s">
        <v>151</v>
      </c>
      <c r="H120" s="83">
        <v>3</v>
      </c>
      <c r="I120" s="150">
        <v>0</v>
      </c>
      <c r="J120" s="150"/>
      <c r="K120" s="143">
        <f t="shared" ref="K120:K127" si="21">+H120*I120</f>
        <v>0</v>
      </c>
      <c r="L120" s="143"/>
      <c r="M120" s="143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119" t="s">
        <v>151</v>
      </c>
      <c r="H121" s="81">
        <v>3</v>
      </c>
      <c r="I121" s="150">
        <v>0</v>
      </c>
      <c r="J121" s="150"/>
      <c r="K121" s="142">
        <f t="shared" si="21"/>
        <v>0</v>
      </c>
      <c r="L121" s="142"/>
      <c r="M121" s="142"/>
      <c r="N121" s="4"/>
    </row>
    <row r="122" spans="2:18">
      <c r="B122" s="54" t="s">
        <v>35</v>
      </c>
      <c r="C122" s="40" t="s">
        <v>391</v>
      </c>
      <c r="D122" s="7"/>
      <c r="E122" s="6"/>
      <c r="F122" s="7"/>
      <c r="G122" s="114" t="s">
        <v>21</v>
      </c>
      <c r="H122" s="83">
        <v>3</v>
      </c>
      <c r="I122" s="150">
        <v>0</v>
      </c>
      <c r="J122" s="150"/>
      <c r="K122" s="143">
        <f t="shared" si="21"/>
        <v>0</v>
      </c>
      <c r="L122" s="143"/>
      <c r="M122" s="143"/>
      <c r="N122" s="4"/>
    </row>
    <row r="123" spans="2:18">
      <c r="B123" s="54" t="s">
        <v>36</v>
      </c>
      <c r="C123" s="58" t="s">
        <v>392</v>
      </c>
      <c r="D123" s="9"/>
      <c r="E123" s="8"/>
      <c r="F123" s="9"/>
      <c r="G123" s="119" t="s">
        <v>21</v>
      </c>
      <c r="H123" s="81">
        <v>3</v>
      </c>
      <c r="I123" s="150">
        <v>0</v>
      </c>
      <c r="J123" s="150"/>
      <c r="K123" s="142">
        <f t="shared" si="21"/>
        <v>0</v>
      </c>
      <c r="L123" s="142"/>
      <c r="M123" s="142"/>
      <c r="N123" s="4"/>
    </row>
    <row r="124" spans="2:18">
      <c r="B124" s="54" t="s">
        <v>37</v>
      </c>
      <c r="C124" s="40" t="s">
        <v>393</v>
      </c>
      <c r="D124" s="7"/>
      <c r="E124" s="6"/>
      <c r="F124" s="7"/>
      <c r="G124" s="114" t="s">
        <v>21</v>
      </c>
      <c r="H124" s="83">
        <v>3</v>
      </c>
      <c r="I124" s="150">
        <v>0</v>
      </c>
      <c r="J124" s="150"/>
      <c r="K124" s="143">
        <f t="shared" si="21"/>
        <v>0</v>
      </c>
      <c r="L124" s="143"/>
      <c r="M124" s="143"/>
      <c r="N124" s="4"/>
    </row>
    <row r="125" spans="2:18">
      <c r="B125" s="54" t="s">
        <v>38</v>
      </c>
      <c r="C125" s="58" t="s">
        <v>394</v>
      </c>
      <c r="D125" s="9"/>
      <c r="E125" s="8"/>
      <c r="F125" s="9"/>
      <c r="G125" s="119" t="s">
        <v>21</v>
      </c>
      <c r="H125" s="81">
        <v>3</v>
      </c>
      <c r="I125" s="150">
        <v>0</v>
      </c>
      <c r="J125" s="150"/>
      <c r="K125" s="142">
        <f t="shared" si="21"/>
        <v>0</v>
      </c>
      <c r="L125" s="142"/>
      <c r="M125" s="142"/>
      <c r="N125" s="4"/>
    </row>
    <row r="126" spans="2:18">
      <c r="B126" s="54" t="s">
        <v>154</v>
      </c>
      <c r="C126" s="40" t="s">
        <v>395</v>
      </c>
      <c r="D126" s="7"/>
      <c r="E126" s="6"/>
      <c r="F126" s="7"/>
      <c r="G126" s="114" t="s">
        <v>21</v>
      </c>
      <c r="H126" s="83">
        <v>3</v>
      </c>
      <c r="I126" s="150">
        <v>0</v>
      </c>
      <c r="J126" s="150"/>
      <c r="K126" s="143">
        <f t="shared" si="21"/>
        <v>0</v>
      </c>
      <c r="L126" s="143"/>
      <c r="M126" s="143"/>
      <c r="N126" s="4"/>
    </row>
    <row r="127" spans="2:18">
      <c r="B127" s="54" t="s">
        <v>155</v>
      </c>
      <c r="C127" s="58" t="s">
        <v>396</v>
      </c>
      <c r="D127" s="9"/>
      <c r="E127" s="8"/>
      <c r="F127" s="9"/>
      <c r="G127" s="119" t="s">
        <v>21</v>
      </c>
      <c r="H127" s="81">
        <v>3</v>
      </c>
      <c r="I127" s="150">
        <v>0</v>
      </c>
      <c r="J127" s="150"/>
      <c r="K127" s="142">
        <f t="shared" si="21"/>
        <v>0</v>
      </c>
      <c r="L127" s="142"/>
      <c r="M127" s="142"/>
      <c r="N127" s="4"/>
    </row>
    <row r="128" spans="2:18">
      <c r="B128" s="75"/>
      <c r="C128" s="76"/>
      <c r="D128" s="77"/>
      <c r="E128" s="77"/>
      <c r="F128" s="77"/>
      <c r="G128" s="115"/>
      <c r="H128" s="78"/>
      <c r="I128" s="78"/>
      <c r="J128" s="78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357</v>
      </c>
      <c r="D129" s="2"/>
      <c r="E129" s="3"/>
      <c r="F129" s="3"/>
      <c r="G129" s="111"/>
      <c r="H129" s="57"/>
      <c r="I129" s="57"/>
      <c r="J129" s="57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424</v>
      </c>
      <c r="D130" s="94"/>
      <c r="E130" s="96" t="s">
        <v>278</v>
      </c>
      <c r="F130" s="96"/>
      <c r="G130" s="112" t="s">
        <v>289</v>
      </c>
      <c r="H130" s="95" t="s">
        <v>425</v>
      </c>
      <c r="I130" s="123" t="s">
        <v>426</v>
      </c>
      <c r="J130" s="124"/>
      <c r="K130" s="96"/>
      <c r="L130" s="96"/>
      <c r="M130" s="96"/>
      <c r="N130" s="19"/>
    </row>
    <row r="131" spans="2:18">
      <c r="B131" s="54" t="s">
        <v>162</v>
      </c>
      <c r="C131" s="58" t="s">
        <v>397</v>
      </c>
      <c r="D131" s="9"/>
      <c r="E131" s="8"/>
      <c r="F131" s="9"/>
      <c r="G131" s="119"/>
      <c r="H131" s="81">
        <v>5</v>
      </c>
      <c r="I131" s="150">
        <v>0</v>
      </c>
      <c r="J131" s="150"/>
      <c r="K131" s="144">
        <f t="shared" ref="K131:K135" si="22">+H131*I131</f>
        <v>0</v>
      </c>
      <c r="L131" s="144"/>
      <c r="M131" s="144"/>
      <c r="N131" s="4"/>
    </row>
    <row r="132" spans="2:18">
      <c r="B132" s="54" t="s">
        <v>163</v>
      </c>
      <c r="C132" s="40" t="s">
        <v>398</v>
      </c>
      <c r="D132" s="7"/>
      <c r="E132" s="22"/>
      <c r="F132" s="7"/>
      <c r="G132" s="114"/>
      <c r="H132" s="83">
        <v>6</v>
      </c>
      <c r="I132" s="150">
        <v>0</v>
      </c>
      <c r="J132" s="150"/>
      <c r="K132" s="143">
        <f t="shared" si="22"/>
        <v>0</v>
      </c>
      <c r="L132" s="143"/>
      <c r="M132" s="143"/>
      <c r="N132" s="4"/>
    </row>
    <row r="133" spans="2:18">
      <c r="B133" s="54" t="s">
        <v>164</v>
      </c>
      <c r="C133" s="58" t="s">
        <v>399</v>
      </c>
      <c r="D133" s="9"/>
      <c r="E133" s="59"/>
      <c r="F133" s="9"/>
      <c r="G133" s="119"/>
      <c r="H133" s="81">
        <v>4</v>
      </c>
      <c r="I133" s="150">
        <v>0</v>
      </c>
      <c r="J133" s="150"/>
      <c r="K133" s="144">
        <f t="shared" si="22"/>
        <v>0</v>
      </c>
      <c r="L133" s="144"/>
      <c r="M133" s="144"/>
      <c r="N133" s="4"/>
    </row>
    <row r="134" spans="2:18">
      <c r="B134" s="54" t="s">
        <v>165</v>
      </c>
      <c r="C134" s="40" t="s">
        <v>400</v>
      </c>
      <c r="D134" s="7"/>
      <c r="E134" s="22"/>
      <c r="F134" s="7"/>
      <c r="G134" s="114"/>
      <c r="H134" s="83">
        <v>3</v>
      </c>
      <c r="I134" s="150">
        <v>0</v>
      </c>
      <c r="J134" s="150"/>
      <c r="K134" s="143">
        <f t="shared" si="22"/>
        <v>0</v>
      </c>
      <c r="L134" s="143"/>
      <c r="M134" s="143"/>
      <c r="N134" s="4"/>
    </row>
    <row r="135" spans="2:18">
      <c r="B135" s="54" t="s">
        <v>166</v>
      </c>
      <c r="C135" s="58" t="s">
        <v>401</v>
      </c>
      <c r="D135" s="9"/>
      <c r="E135" s="59"/>
      <c r="F135" s="9"/>
      <c r="G135" s="119"/>
      <c r="H135" s="81">
        <v>3</v>
      </c>
      <c r="I135" s="150">
        <v>0</v>
      </c>
      <c r="J135" s="150"/>
      <c r="K135" s="144">
        <f t="shared" si="22"/>
        <v>0</v>
      </c>
      <c r="L135" s="144"/>
      <c r="M135" s="144"/>
      <c r="N135" s="4"/>
    </row>
    <row r="136" spans="2:18">
      <c r="B136" s="76"/>
      <c r="C136" s="76"/>
      <c r="D136" s="77"/>
      <c r="E136" s="77"/>
      <c r="F136" s="77"/>
      <c r="G136" s="115"/>
      <c r="H136" s="78"/>
      <c r="I136" s="78"/>
      <c r="J136" s="78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358</v>
      </c>
      <c r="D137" s="2"/>
      <c r="E137" s="3"/>
      <c r="F137" s="3"/>
      <c r="G137" s="111"/>
      <c r="H137" s="57"/>
      <c r="I137" s="57"/>
      <c r="J137" s="57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424</v>
      </c>
      <c r="D138" s="94"/>
      <c r="E138" s="96" t="s">
        <v>278</v>
      </c>
      <c r="F138" s="96"/>
      <c r="G138" s="112" t="s">
        <v>289</v>
      </c>
      <c r="H138" s="95" t="s">
        <v>425</v>
      </c>
      <c r="I138" s="123" t="s">
        <v>426</v>
      </c>
      <c r="J138" s="124"/>
      <c r="K138" s="96"/>
      <c r="L138" s="96"/>
      <c r="M138" s="96"/>
      <c r="N138" s="19"/>
    </row>
    <row r="139" spans="2:18">
      <c r="B139" s="54" t="s">
        <v>174</v>
      </c>
      <c r="C139" s="50" t="s">
        <v>402</v>
      </c>
      <c r="D139" s="9"/>
      <c r="E139" s="99" t="s">
        <v>270</v>
      </c>
      <c r="F139" s="9"/>
      <c r="G139" s="119"/>
      <c r="H139" s="81">
        <v>4</v>
      </c>
      <c r="I139" s="150">
        <v>0</v>
      </c>
      <c r="J139" s="150"/>
      <c r="K139" s="144">
        <f t="shared" ref="K139:K141" si="23">+H139*I139</f>
        <v>0</v>
      </c>
      <c r="L139" s="144"/>
      <c r="M139" s="144"/>
      <c r="N139" s="4"/>
    </row>
    <row r="140" spans="2:18">
      <c r="B140" s="54" t="s">
        <v>175</v>
      </c>
      <c r="C140" s="134" t="s">
        <v>403</v>
      </c>
      <c r="D140" s="7"/>
      <c r="E140" s="100" t="s">
        <v>270</v>
      </c>
      <c r="F140" s="7"/>
      <c r="G140" s="114"/>
      <c r="H140" s="83">
        <v>4</v>
      </c>
      <c r="I140" s="150">
        <v>0</v>
      </c>
      <c r="J140" s="150"/>
      <c r="K140" s="143">
        <f t="shared" si="23"/>
        <v>0</v>
      </c>
      <c r="L140" s="143"/>
      <c r="M140" s="143"/>
      <c r="N140" s="4"/>
    </row>
    <row r="141" spans="2:18">
      <c r="B141" s="54" t="s">
        <v>176</v>
      </c>
      <c r="C141" s="135" t="s">
        <v>404</v>
      </c>
      <c r="D141" s="9"/>
      <c r="E141" s="99" t="s">
        <v>269</v>
      </c>
      <c r="F141" s="9"/>
      <c r="G141" s="119"/>
      <c r="H141" s="81">
        <v>4</v>
      </c>
      <c r="I141" s="150">
        <v>0</v>
      </c>
      <c r="J141" s="150"/>
      <c r="K141" s="144">
        <f t="shared" si="23"/>
        <v>0</v>
      </c>
      <c r="L141" s="144"/>
      <c r="M141" s="144"/>
      <c r="N141" s="4"/>
    </row>
    <row r="142" spans="2:18">
      <c r="B142" s="76"/>
      <c r="C142" s="76"/>
      <c r="D142" s="77"/>
      <c r="E142" s="77"/>
      <c r="F142" s="77"/>
      <c r="G142" s="115"/>
      <c r="H142" s="78"/>
      <c r="I142" s="78"/>
      <c r="J142" s="78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359</v>
      </c>
      <c r="D143" s="2"/>
      <c r="E143" s="3"/>
      <c r="F143" s="3"/>
      <c r="G143" s="111"/>
      <c r="H143" s="57"/>
      <c r="I143" s="57"/>
      <c r="J143" s="57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424</v>
      </c>
      <c r="D144" s="94"/>
      <c r="E144" s="96" t="s">
        <v>278</v>
      </c>
      <c r="F144" s="96"/>
      <c r="G144" s="112" t="s">
        <v>289</v>
      </c>
      <c r="H144" s="95" t="s">
        <v>425</v>
      </c>
      <c r="I144" s="123" t="s">
        <v>426</v>
      </c>
      <c r="J144" s="124"/>
      <c r="K144" s="19"/>
      <c r="L144" s="19"/>
      <c r="M144" s="19"/>
      <c r="N144" s="19"/>
    </row>
    <row r="145" spans="2:18">
      <c r="B145" s="54" t="s">
        <v>182</v>
      </c>
      <c r="C145" s="50" t="s">
        <v>405</v>
      </c>
      <c r="D145" s="35"/>
      <c r="E145" s="99" t="s">
        <v>274</v>
      </c>
      <c r="F145" s="9"/>
      <c r="G145" s="119"/>
      <c r="H145" s="81">
        <v>12</v>
      </c>
      <c r="I145" s="150">
        <v>0</v>
      </c>
      <c r="J145" s="150"/>
      <c r="K145" s="144">
        <f t="shared" ref="K145:K146" si="24">+H145*I145</f>
        <v>0</v>
      </c>
      <c r="L145" s="144"/>
      <c r="M145" s="144"/>
      <c r="N145" s="4"/>
    </row>
    <row r="146" spans="2:18">
      <c r="B146" s="54" t="s">
        <v>183</v>
      </c>
      <c r="C146" s="42" t="s">
        <v>406</v>
      </c>
      <c r="D146" s="60"/>
      <c r="E146" s="100" t="s">
        <v>275</v>
      </c>
      <c r="F146" s="7"/>
      <c r="G146" s="114"/>
      <c r="H146" s="83">
        <v>15</v>
      </c>
      <c r="I146" s="150">
        <v>0</v>
      </c>
      <c r="J146" s="150"/>
      <c r="K146" s="143">
        <f t="shared" si="24"/>
        <v>0</v>
      </c>
      <c r="L146" s="143"/>
      <c r="M146" s="143"/>
      <c r="N146" s="4"/>
    </row>
    <row r="147" spans="2:18">
      <c r="B147" s="76"/>
      <c r="C147" s="79"/>
      <c r="D147" s="77"/>
      <c r="E147" s="77"/>
      <c r="F147" s="77"/>
      <c r="G147" s="115"/>
      <c r="H147" s="78"/>
      <c r="I147" s="78"/>
      <c r="J147" s="78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360</v>
      </c>
      <c r="D148" s="2"/>
      <c r="E148" s="3"/>
      <c r="F148" s="3"/>
      <c r="G148" s="111"/>
      <c r="H148" s="57"/>
      <c r="I148" s="57"/>
      <c r="J148" s="57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424</v>
      </c>
      <c r="D149" s="94"/>
      <c r="E149" s="96" t="s">
        <v>278</v>
      </c>
      <c r="F149" s="96"/>
      <c r="G149" s="112" t="s">
        <v>289</v>
      </c>
      <c r="H149" s="95" t="s">
        <v>425</v>
      </c>
      <c r="I149" s="123" t="s">
        <v>426</v>
      </c>
      <c r="J149" s="124"/>
      <c r="K149" s="19"/>
      <c r="L149" s="19"/>
      <c r="M149" s="19"/>
      <c r="N149" s="19"/>
    </row>
    <row r="150" spans="2:18">
      <c r="B150" s="54" t="s">
        <v>189</v>
      </c>
      <c r="C150" s="50" t="s">
        <v>408</v>
      </c>
      <c r="D150" s="35"/>
      <c r="E150" s="99" t="s">
        <v>266</v>
      </c>
      <c r="F150" s="9"/>
      <c r="G150" s="119"/>
      <c r="H150" s="81">
        <v>3</v>
      </c>
      <c r="I150" s="150">
        <v>0</v>
      </c>
      <c r="J150" s="150"/>
      <c r="K150" s="144">
        <f t="shared" ref="K150:K152" si="25">+H150*I150</f>
        <v>0</v>
      </c>
      <c r="L150" s="144"/>
      <c r="M150" s="144"/>
      <c r="N150" s="4"/>
    </row>
    <row r="151" spans="2:18">
      <c r="B151" s="54" t="s">
        <v>190</v>
      </c>
      <c r="C151" s="136" t="s">
        <v>407</v>
      </c>
      <c r="D151" s="60"/>
      <c r="E151" s="100" t="s">
        <v>266</v>
      </c>
      <c r="F151" s="7"/>
      <c r="G151" s="114"/>
      <c r="H151" s="83">
        <v>3</v>
      </c>
      <c r="I151" s="150">
        <v>0</v>
      </c>
      <c r="J151" s="150"/>
      <c r="K151" s="143">
        <f t="shared" si="25"/>
        <v>0</v>
      </c>
      <c r="L151" s="143"/>
      <c r="M151" s="143"/>
      <c r="N151" s="4"/>
    </row>
    <row r="152" spans="2:18">
      <c r="B152" s="54" t="s">
        <v>191</v>
      </c>
      <c r="C152" s="138" t="s">
        <v>409</v>
      </c>
      <c r="D152" s="35"/>
      <c r="E152" s="99" t="s">
        <v>266</v>
      </c>
      <c r="F152" s="9"/>
      <c r="G152" s="119"/>
      <c r="H152" s="81">
        <v>3</v>
      </c>
      <c r="I152" s="150">
        <v>0</v>
      </c>
      <c r="J152" s="150"/>
      <c r="K152" s="144">
        <f t="shared" si="25"/>
        <v>0</v>
      </c>
      <c r="L152" s="144"/>
      <c r="M152" s="144"/>
      <c r="N152" s="4"/>
    </row>
    <row r="153" spans="2:18">
      <c r="B153" s="76"/>
      <c r="C153" s="76"/>
      <c r="D153" s="77"/>
      <c r="E153" s="77"/>
      <c r="F153" s="77"/>
      <c r="G153" s="115"/>
      <c r="H153" s="78"/>
      <c r="I153" s="78"/>
      <c r="J153" s="78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361</v>
      </c>
      <c r="D154" s="2"/>
      <c r="E154" s="3"/>
      <c r="F154" s="3"/>
      <c r="G154" s="111"/>
      <c r="H154" s="57"/>
      <c r="I154" s="57"/>
      <c r="J154" s="57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424</v>
      </c>
      <c r="D155" s="94"/>
      <c r="E155" s="96" t="s">
        <v>278</v>
      </c>
      <c r="F155" s="96"/>
      <c r="G155" s="112" t="s">
        <v>289</v>
      </c>
      <c r="H155" s="95" t="s">
        <v>425</v>
      </c>
      <c r="I155" s="123" t="s">
        <v>426</v>
      </c>
      <c r="J155" s="124"/>
      <c r="K155" s="19"/>
      <c r="L155" s="19"/>
      <c r="M155" s="19"/>
      <c r="N155" s="19"/>
    </row>
    <row r="156" spans="2:18">
      <c r="B156" s="54" t="s">
        <v>193</v>
      </c>
      <c r="C156" s="50" t="s">
        <v>419</v>
      </c>
      <c r="D156" s="35"/>
      <c r="E156" s="99" t="s">
        <v>340</v>
      </c>
      <c r="F156" s="9"/>
      <c r="G156" s="119"/>
      <c r="H156" s="81">
        <v>15</v>
      </c>
      <c r="I156" s="150">
        <v>0</v>
      </c>
      <c r="J156" s="150"/>
      <c r="K156" s="144">
        <f t="shared" ref="K156:K157" si="26">+H156*I156</f>
        <v>0</v>
      </c>
      <c r="L156" s="144"/>
      <c r="M156" s="144"/>
      <c r="N156" s="4"/>
    </row>
    <row r="157" spans="2:18">
      <c r="B157" s="54" t="s">
        <v>194</v>
      </c>
      <c r="C157" s="42" t="s">
        <v>420</v>
      </c>
      <c r="D157" s="60"/>
      <c r="E157" s="100" t="s">
        <v>340</v>
      </c>
      <c r="F157" s="7"/>
      <c r="G157" s="114"/>
      <c r="H157" s="83">
        <v>15</v>
      </c>
      <c r="I157" s="150">
        <v>0</v>
      </c>
      <c r="J157" s="150"/>
      <c r="K157" s="143">
        <f t="shared" si="26"/>
        <v>0</v>
      </c>
      <c r="L157" s="143"/>
      <c r="M157" s="143"/>
      <c r="N157" s="4"/>
    </row>
    <row r="158" spans="2:18">
      <c r="B158" s="76"/>
      <c r="C158" s="76"/>
      <c r="D158" s="77"/>
      <c r="E158" s="77"/>
      <c r="F158" s="77"/>
      <c r="G158" s="115"/>
      <c r="H158" s="78"/>
      <c r="I158" s="78"/>
      <c r="J158" s="78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362</v>
      </c>
      <c r="D159" s="2"/>
      <c r="E159" s="3"/>
      <c r="F159" s="3"/>
      <c r="G159" s="111"/>
      <c r="H159" s="57"/>
      <c r="I159" s="57"/>
      <c r="J159" s="57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424</v>
      </c>
      <c r="D160" s="94"/>
      <c r="E160" s="96" t="s">
        <v>278</v>
      </c>
      <c r="F160" s="96"/>
      <c r="G160" s="112" t="s">
        <v>289</v>
      </c>
      <c r="H160" s="95" t="s">
        <v>425</v>
      </c>
      <c r="I160" s="123" t="s">
        <v>426</v>
      </c>
      <c r="J160" s="124"/>
      <c r="K160" s="19"/>
      <c r="L160" s="19"/>
      <c r="M160" s="19"/>
      <c r="N160" s="19"/>
    </row>
    <row r="161" spans="2:18">
      <c r="B161" s="54" t="s">
        <v>199</v>
      </c>
      <c r="C161" s="50" t="s">
        <v>410</v>
      </c>
      <c r="D161" s="35"/>
      <c r="E161" s="8"/>
      <c r="F161" s="9"/>
      <c r="G161" s="119"/>
      <c r="H161" s="81">
        <v>5</v>
      </c>
      <c r="I161" s="150">
        <v>0</v>
      </c>
      <c r="J161" s="150"/>
      <c r="K161" s="144">
        <f t="shared" ref="K161:K162" si="27">+H161*I161</f>
        <v>0</v>
      </c>
      <c r="L161" s="144"/>
      <c r="M161" s="144"/>
      <c r="N161" s="4"/>
    </row>
    <row r="162" spans="2:18">
      <c r="B162" s="54" t="s">
        <v>200</v>
      </c>
      <c r="C162" s="42" t="s">
        <v>411</v>
      </c>
      <c r="D162" s="60"/>
      <c r="E162" s="22"/>
      <c r="F162" s="7"/>
      <c r="G162" s="114"/>
      <c r="H162" s="83">
        <v>5</v>
      </c>
      <c r="I162" s="150">
        <v>0</v>
      </c>
      <c r="J162" s="150"/>
      <c r="K162" s="143">
        <f t="shared" si="27"/>
        <v>0</v>
      </c>
      <c r="L162" s="143"/>
      <c r="M162" s="143"/>
      <c r="N162" s="4"/>
    </row>
    <row r="163" spans="2:18">
      <c r="B163" s="76"/>
      <c r="C163" s="76"/>
      <c r="D163" s="77"/>
      <c r="E163" s="77"/>
      <c r="F163" s="77"/>
      <c r="G163" s="115"/>
      <c r="H163" s="78"/>
      <c r="I163" s="78"/>
      <c r="J163" s="78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363</v>
      </c>
      <c r="D164" s="2"/>
      <c r="E164" s="3"/>
      <c r="F164" s="3"/>
      <c r="G164" s="111"/>
      <c r="H164" s="57"/>
      <c r="I164" s="57"/>
      <c r="J164" s="57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424</v>
      </c>
      <c r="D165" s="94"/>
      <c r="E165" s="96" t="s">
        <v>278</v>
      </c>
      <c r="F165" s="96"/>
      <c r="G165" s="112" t="s">
        <v>289</v>
      </c>
      <c r="H165" s="95" t="s">
        <v>425</v>
      </c>
      <c r="I165" s="123" t="s">
        <v>426</v>
      </c>
      <c r="J165" s="124"/>
      <c r="K165" s="19"/>
      <c r="L165" s="19"/>
      <c r="M165" s="19"/>
      <c r="N165" s="19"/>
    </row>
    <row r="166" spans="2:18">
      <c r="B166" s="54" t="s">
        <v>204</v>
      </c>
      <c r="C166" s="50" t="s">
        <v>412</v>
      </c>
      <c r="D166" s="35"/>
      <c r="E166" s="8" t="s">
        <v>264</v>
      </c>
      <c r="F166" s="9"/>
      <c r="G166" s="119"/>
      <c r="H166" s="81">
        <v>50</v>
      </c>
      <c r="I166" s="150">
        <v>0</v>
      </c>
      <c r="J166" s="150"/>
      <c r="K166" s="142">
        <f t="shared" ref="K166:K167" si="28">+H166*I166</f>
        <v>0</v>
      </c>
      <c r="L166" s="142"/>
      <c r="M166" s="142"/>
      <c r="N166" s="4"/>
    </row>
    <row r="167" spans="2:18">
      <c r="B167" s="54" t="s">
        <v>205</v>
      </c>
      <c r="C167" s="42" t="s">
        <v>413</v>
      </c>
      <c r="D167" s="60"/>
      <c r="E167" s="22" t="s">
        <v>265</v>
      </c>
      <c r="F167" s="7"/>
      <c r="G167" s="114"/>
      <c r="H167" s="83">
        <v>40</v>
      </c>
      <c r="I167" s="150">
        <v>0</v>
      </c>
      <c r="J167" s="150"/>
      <c r="K167" s="143">
        <f t="shared" si="28"/>
        <v>0</v>
      </c>
      <c r="L167" s="143"/>
      <c r="M167" s="143"/>
      <c r="N167" s="4"/>
    </row>
    <row r="168" spans="2:18">
      <c r="B168" s="76"/>
      <c r="C168" s="76"/>
      <c r="D168" s="77"/>
      <c r="E168" s="77"/>
      <c r="F168" s="77"/>
      <c r="G168" s="115"/>
      <c r="H168" s="78"/>
      <c r="I168" s="78"/>
      <c r="J168" s="78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364</v>
      </c>
      <c r="D169" s="2"/>
      <c r="E169" s="3"/>
      <c r="F169" s="3"/>
      <c r="G169" s="111"/>
      <c r="H169" s="57"/>
      <c r="I169" s="57"/>
      <c r="J169" s="57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424</v>
      </c>
      <c r="D170" s="94"/>
      <c r="E170" s="96" t="s">
        <v>278</v>
      </c>
      <c r="F170" s="96"/>
      <c r="G170" s="112" t="s">
        <v>289</v>
      </c>
      <c r="H170" s="95" t="s">
        <v>425</v>
      </c>
      <c r="I170" s="123" t="s">
        <v>426</v>
      </c>
      <c r="J170" s="124"/>
      <c r="K170" s="19"/>
      <c r="L170" s="19"/>
      <c r="M170" s="19"/>
      <c r="N170" s="19"/>
    </row>
    <row r="171" spans="2:18">
      <c r="B171" s="54" t="s">
        <v>206</v>
      </c>
      <c r="C171" s="50" t="s">
        <v>414</v>
      </c>
      <c r="D171" s="35"/>
      <c r="E171" s="8" t="s">
        <v>267</v>
      </c>
      <c r="F171" s="9"/>
      <c r="G171" s="119"/>
      <c r="H171" s="81">
        <v>15</v>
      </c>
      <c r="I171" s="150">
        <v>0</v>
      </c>
      <c r="J171" s="150"/>
      <c r="K171" s="144">
        <f t="shared" ref="K171:K173" si="29">+H171*I171</f>
        <v>0</v>
      </c>
      <c r="L171" s="144"/>
      <c r="M171" s="144"/>
      <c r="N171" s="4"/>
    </row>
    <row r="172" spans="2:18">
      <c r="B172" s="54" t="s">
        <v>207</v>
      </c>
      <c r="C172" s="42" t="s">
        <v>402</v>
      </c>
      <c r="D172" s="60"/>
      <c r="E172" s="22" t="s">
        <v>267</v>
      </c>
      <c r="F172" s="7"/>
      <c r="G172" s="114"/>
      <c r="H172" s="83">
        <v>15</v>
      </c>
      <c r="I172" s="150">
        <v>0</v>
      </c>
      <c r="J172" s="150"/>
      <c r="K172" s="143">
        <f t="shared" si="29"/>
        <v>0</v>
      </c>
      <c r="L172" s="143"/>
      <c r="M172" s="143"/>
      <c r="N172" s="4"/>
    </row>
    <row r="173" spans="2:18">
      <c r="B173" s="54" t="s">
        <v>208</v>
      </c>
      <c r="C173" s="50" t="s">
        <v>415</v>
      </c>
      <c r="D173" s="35"/>
      <c r="E173" s="8" t="s">
        <v>267</v>
      </c>
      <c r="F173" s="9"/>
      <c r="G173" s="119"/>
      <c r="H173" s="81">
        <v>15</v>
      </c>
      <c r="I173" s="150">
        <v>0</v>
      </c>
      <c r="J173" s="150"/>
      <c r="K173" s="144">
        <f t="shared" si="29"/>
        <v>0</v>
      </c>
      <c r="L173" s="144"/>
      <c r="M173" s="144"/>
      <c r="N173" s="4"/>
    </row>
    <row r="174" spans="2:18">
      <c r="B174" s="75"/>
      <c r="C174" s="76"/>
      <c r="D174" s="77"/>
      <c r="E174" s="77"/>
      <c r="F174" s="77"/>
      <c r="G174" s="115"/>
      <c r="H174" s="78"/>
      <c r="I174" s="78"/>
      <c r="J174" s="78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365</v>
      </c>
      <c r="D175" s="2"/>
      <c r="E175" s="3"/>
      <c r="F175" s="3"/>
      <c r="G175" s="111"/>
      <c r="H175" s="57"/>
      <c r="I175" s="57"/>
      <c r="J175" s="57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424</v>
      </c>
      <c r="D176" s="94"/>
      <c r="E176" s="96" t="s">
        <v>278</v>
      </c>
      <c r="F176" s="96"/>
      <c r="G176" s="112" t="s">
        <v>289</v>
      </c>
      <c r="H176" s="95" t="s">
        <v>425</v>
      </c>
      <c r="I176" s="123" t="s">
        <v>426</v>
      </c>
      <c r="J176" s="124"/>
      <c r="K176" s="19"/>
      <c r="L176" s="19"/>
      <c r="M176" s="19"/>
      <c r="N176" s="19"/>
    </row>
    <row r="177" spans="2:18">
      <c r="B177" s="54" t="s">
        <v>212</v>
      </c>
      <c r="C177" s="50" t="s">
        <v>414</v>
      </c>
      <c r="D177" s="35"/>
      <c r="E177" s="8" t="s">
        <v>268</v>
      </c>
      <c r="F177" s="9"/>
      <c r="G177" s="119"/>
      <c r="H177" s="81">
        <v>15</v>
      </c>
      <c r="I177" s="150">
        <v>0</v>
      </c>
      <c r="J177" s="150"/>
      <c r="K177" s="144">
        <f t="shared" ref="K177:K179" si="30">+H177*I177</f>
        <v>0</v>
      </c>
      <c r="L177" s="144"/>
      <c r="M177" s="144"/>
      <c r="N177" s="4"/>
    </row>
    <row r="178" spans="2:18">
      <c r="B178" s="54" t="s">
        <v>213</v>
      </c>
      <c r="C178" s="42" t="s">
        <v>402</v>
      </c>
      <c r="D178" s="60"/>
      <c r="E178" s="22" t="s">
        <v>268</v>
      </c>
      <c r="F178" s="7"/>
      <c r="G178" s="114"/>
      <c r="H178" s="83">
        <v>15</v>
      </c>
      <c r="I178" s="150">
        <v>0</v>
      </c>
      <c r="J178" s="150"/>
      <c r="K178" s="143">
        <f t="shared" si="30"/>
        <v>0</v>
      </c>
      <c r="L178" s="143"/>
      <c r="M178" s="143"/>
      <c r="N178" s="4"/>
    </row>
    <row r="179" spans="2:18">
      <c r="B179" s="54" t="s">
        <v>214</v>
      </c>
      <c r="C179" s="50" t="s">
        <v>415</v>
      </c>
      <c r="D179" s="35"/>
      <c r="E179" s="8" t="s">
        <v>268</v>
      </c>
      <c r="F179" s="9"/>
      <c r="G179" s="119"/>
      <c r="H179" s="81">
        <v>15</v>
      </c>
      <c r="I179" s="150">
        <v>0</v>
      </c>
      <c r="J179" s="150"/>
      <c r="K179" s="144">
        <f t="shared" si="30"/>
        <v>0</v>
      </c>
      <c r="L179" s="144"/>
      <c r="M179" s="144"/>
      <c r="N179" s="4"/>
    </row>
    <row r="180" spans="2:18">
      <c r="B180" s="76"/>
      <c r="C180" s="76"/>
      <c r="D180" s="77"/>
      <c r="E180" s="77"/>
      <c r="F180" s="77"/>
      <c r="G180" s="115"/>
      <c r="H180" s="78"/>
      <c r="I180" s="78"/>
      <c r="J180" s="78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366</v>
      </c>
      <c r="D181" s="2"/>
      <c r="E181" s="3"/>
      <c r="F181" s="3"/>
      <c r="G181" s="111"/>
      <c r="H181" s="57"/>
      <c r="I181" s="57"/>
      <c r="J181" s="57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424</v>
      </c>
      <c r="D182" s="94"/>
      <c r="E182" s="96" t="s">
        <v>278</v>
      </c>
      <c r="F182" s="96"/>
      <c r="G182" s="112" t="s">
        <v>289</v>
      </c>
      <c r="H182" s="95" t="s">
        <v>425</v>
      </c>
      <c r="I182" s="123" t="s">
        <v>426</v>
      </c>
      <c r="J182" s="124"/>
      <c r="K182" s="19"/>
      <c r="L182" s="19"/>
      <c r="M182" s="19"/>
      <c r="N182" s="19"/>
    </row>
    <row r="183" spans="2:18">
      <c r="B183" s="54" t="s">
        <v>215</v>
      </c>
      <c r="C183" s="50" t="s">
        <v>417</v>
      </c>
      <c r="D183" s="35"/>
      <c r="E183" s="8" t="s">
        <v>271</v>
      </c>
      <c r="F183" s="9"/>
      <c r="G183" s="119"/>
      <c r="H183" s="81">
        <v>3</v>
      </c>
      <c r="I183" s="150">
        <v>0</v>
      </c>
      <c r="J183" s="150"/>
      <c r="K183" s="144">
        <f t="shared" ref="K183:K184" si="31">+H183*I183</f>
        <v>0</v>
      </c>
      <c r="L183" s="144"/>
      <c r="M183" s="144"/>
      <c r="N183" s="4"/>
    </row>
    <row r="184" spans="2:18">
      <c r="B184" s="54" t="s">
        <v>216</v>
      </c>
      <c r="C184" s="42" t="s">
        <v>416</v>
      </c>
      <c r="D184" s="60"/>
      <c r="E184" s="22" t="s">
        <v>271</v>
      </c>
      <c r="F184" s="7"/>
      <c r="G184" s="114"/>
      <c r="H184" s="83">
        <v>3</v>
      </c>
      <c r="I184" s="150">
        <v>0</v>
      </c>
      <c r="J184" s="150"/>
      <c r="K184" s="143">
        <f t="shared" si="31"/>
        <v>0</v>
      </c>
      <c r="L184" s="143"/>
      <c r="M184" s="143"/>
      <c r="N184" s="4"/>
    </row>
    <row r="185" spans="2:18">
      <c r="B185" s="76"/>
      <c r="C185" s="76"/>
      <c r="D185" s="77"/>
      <c r="E185" s="77"/>
      <c r="F185" s="77"/>
      <c r="G185" s="115"/>
      <c r="H185" s="78"/>
      <c r="I185" s="78"/>
      <c r="J185" s="78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367</v>
      </c>
      <c r="D186" s="2"/>
      <c r="E186" s="3"/>
      <c r="F186" s="3"/>
      <c r="G186" s="111"/>
      <c r="H186" s="57"/>
      <c r="I186" s="57"/>
      <c r="J186" s="57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424</v>
      </c>
      <c r="D187" s="94"/>
      <c r="E187" s="96" t="s">
        <v>278</v>
      </c>
      <c r="F187" s="96"/>
      <c r="G187" s="112" t="s">
        <v>289</v>
      </c>
      <c r="H187" s="95" t="s">
        <v>425</v>
      </c>
      <c r="I187" s="123" t="s">
        <v>426</v>
      </c>
      <c r="J187" s="124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119"/>
      <c r="H188" s="81">
        <v>4</v>
      </c>
      <c r="I188" s="150">
        <v>0</v>
      </c>
      <c r="J188" s="150"/>
      <c r="K188" s="142">
        <f t="shared" ref="K188:K189" si="32">+H188*I188</f>
        <v>0</v>
      </c>
      <c r="L188" s="142"/>
      <c r="M188" s="142"/>
      <c r="N188" s="4"/>
    </row>
    <row r="189" spans="2:18">
      <c r="B189" s="54" t="s">
        <v>237</v>
      </c>
      <c r="C189" s="42" t="s">
        <v>418</v>
      </c>
      <c r="D189" s="60"/>
      <c r="E189" s="100" t="s">
        <v>273</v>
      </c>
      <c r="F189" s="7"/>
      <c r="G189" s="114"/>
      <c r="H189" s="83">
        <v>4</v>
      </c>
      <c r="I189" s="150">
        <v>0</v>
      </c>
      <c r="J189" s="150"/>
      <c r="K189" s="143">
        <f t="shared" si="32"/>
        <v>0</v>
      </c>
      <c r="L189" s="143"/>
      <c r="M189" s="143"/>
      <c r="N189" s="4"/>
    </row>
    <row r="190" spans="2:18">
      <c r="B190" s="76"/>
      <c r="C190" s="76"/>
      <c r="D190" s="77"/>
      <c r="E190" s="77"/>
      <c r="F190" s="77"/>
      <c r="G190" s="115"/>
      <c r="H190" s="78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  <c r="I191"/>
    </row>
    <row r="192" spans="2:18" ht="33.75">
      <c r="B192" s="67" t="s">
        <v>1</v>
      </c>
      <c r="C192" s="68" t="s">
        <v>423</v>
      </c>
      <c r="D192" s="69" t="s">
        <v>1</v>
      </c>
      <c r="E192" s="70" t="s">
        <v>1</v>
      </c>
      <c r="F192" s="71" t="s">
        <v>1</v>
      </c>
      <c r="G192" s="110" t="s">
        <v>1</v>
      </c>
      <c r="H192" s="73" t="s">
        <v>1</v>
      </c>
      <c r="I192" s="148">
        <f>SUM(I22:J189)</f>
        <v>0</v>
      </c>
      <c r="J192" s="148"/>
      <c r="K192" s="149">
        <f>SUM(K24:M191)</f>
        <v>0</v>
      </c>
      <c r="L192" s="149"/>
      <c r="M192" s="149"/>
      <c r="N192" s="74"/>
    </row>
    <row r="193" spans="2:9">
      <c r="B193" s="37"/>
      <c r="I193" s="122"/>
    </row>
    <row r="194" spans="2:9">
      <c r="B194" s="37"/>
      <c r="I194" s="122"/>
    </row>
    <row r="195" spans="2:9">
      <c r="B195" s="37"/>
      <c r="I195" s="122"/>
    </row>
    <row r="196" spans="2:9">
      <c r="B196" s="37"/>
      <c r="I196" s="122"/>
    </row>
    <row r="197" spans="2:9">
      <c r="B197" s="37"/>
      <c r="I197" s="122"/>
    </row>
    <row r="198" spans="2:9">
      <c r="B198" s="37"/>
      <c r="I198" s="122"/>
    </row>
    <row r="199" spans="2:9">
      <c r="B199" s="37"/>
      <c r="I199" s="122"/>
    </row>
    <row r="200" spans="2:9">
      <c r="B200" s="37"/>
      <c r="I200" s="122"/>
    </row>
    <row r="201" spans="2:9">
      <c r="B201" s="37"/>
      <c r="I201" s="122"/>
    </row>
    <row r="202" spans="2:9">
      <c r="B202" s="37"/>
      <c r="I202" s="122"/>
    </row>
    <row r="203" spans="2:9">
      <c r="B203" s="37"/>
      <c r="I203" s="122"/>
    </row>
    <row r="204" spans="2:9">
      <c r="B204" s="37"/>
      <c r="I204" s="122"/>
    </row>
    <row r="205" spans="2:9">
      <c r="B205" s="37"/>
      <c r="I205" s="122"/>
    </row>
    <row r="206" spans="2:9">
      <c r="B206" s="37"/>
      <c r="I206" s="122"/>
    </row>
    <row r="207" spans="2:9">
      <c r="B207" s="37"/>
      <c r="I207" s="122"/>
    </row>
    <row r="208" spans="2:9">
      <c r="B208" s="37"/>
      <c r="I208" s="122"/>
    </row>
    <row r="209" spans="2:9">
      <c r="B209" s="37"/>
      <c r="I209" s="122"/>
    </row>
    <row r="210" spans="2:9">
      <c r="B210" s="37"/>
      <c r="I210" s="122"/>
    </row>
    <row r="211" spans="2:9">
      <c r="B211" s="37"/>
      <c r="I211" s="122"/>
    </row>
    <row r="212" spans="2:9">
      <c r="B212" s="37"/>
      <c r="I212" s="122"/>
    </row>
    <row r="213" spans="2:9">
      <c r="B213" s="37"/>
      <c r="I213" s="122"/>
    </row>
    <row r="214" spans="2:9">
      <c r="B214" s="37"/>
      <c r="I214" s="122"/>
    </row>
    <row r="215" spans="2:9">
      <c r="B215" s="37"/>
      <c r="I215" s="122"/>
    </row>
    <row r="216" spans="2:9">
      <c r="B216" s="37"/>
      <c r="I216" s="122"/>
    </row>
    <row r="217" spans="2:9">
      <c r="B217" s="37"/>
      <c r="I217" s="122"/>
    </row>
    <row r="218" spans="2:9">
      <c r="B218" s="37"/>
      <c r="I218" s="122"/>
    </row>
    <row r="219" spans="2:9">
      <c r="B219" s="37"/>
      <c r="I219" s="122"/>
    </row>
    <row r="220" spans="2:9">
      <c r="I220" s="122"/>
    </row>
    <row r="221" spans="2:9">
      <c r="B221" s="37"/>
      <c r="I221" s="122"/>
    </row>
    <row r="222" spans="2:9">
      <c r="B222" s="37"/>
      <c r="I222" s="122"/>
    </row>
    <row r="223" spans="2:9">
      <c r="B223" s="37"/>
      <c r="I223" s="122"/>
    </row>
    <row r="224" spans="2:9">
      <c r="B224" s="37"/>
      <c r="I224" s="122"/>
    </row>
    <row r="225" spans="2:9">
      <c r="B225" s="37"/>
      <c r="I225" s="122"/>
    </row>
    <row r="226" spans="2:9">
      <c r="B226" s="37"/>
      <c r="I226" s="122"/>
    </row>
    <row r="227" spans="2:9">
      <c r="B227" s="37"/>
      <c r="I227" s="122"/>
    </row>
    <row r="228" spans="2:9">
      <c r="B228" s="37"/>
      <c r="I228" s="122"/>
    </row>
    <row r="229" spans="2:9">
      <c r="B229" s="37"/>
      <c r="I229" s="122"/>
    </row>
    <row r="230" spans="2:9">
      <c r="B230" s="37"/>
      <c r="I230" s="122"/>
    </row>
    <row r="231" spans="2:9">
      <c r="B231" s="37"/>
      <c r="I231" s="122"/>
    </row>
    <row r="232" spans="2:9">
      <c r="B232" s="37"/>
      <c r="I232" s="122"/>
    </row>
    <row r="233" spans="2:9">
      <c r="B233" s="37"/>
      <c r="I233" s="122"/>
    </row>
    <row r="234" spans="2:9">
      <c r="B234" s="37"/>
      <c r="I234" s="122"/>
    </row>
    <row r="235" spans="2:9">
      <c r="B235" s="37"/>
      <c r="I235" s="122"/>
    </row>
    <row r="236" spans="2:9">
      <c r="B236" s="37"/>
      <c r="I236" s="122"/>
    </row>
    <row r="237" spans="2:9">
      <c r="B237" s="37"/>
      <c r="I237" s="122"/>
    </row>
    <row r="238" spans="2:9">
      <c r="B238" s="37"/>
      <c r="I238" s="122"/>
    </row>
    <row r="239" spans="2:9">
      <c r="B239" s="37"/>
      <c r="I239" s="122"/>
    </row>
    <row r="240" spans="2:9">
      <c r="B240" s="37"/>
      <c r="I240" s="122"/>
    </row>
    <row r="241" spans="2:9">
      <c r="B241" s="37"/>
      <c r="I241" s="122"/>
    </row>
    <row r="242" spans="2:9">
      <c r="B242" s="37"/>
      <c r="I242" s="122"/>
    </row>
    <row r="243" spans="2:9">
      <c r="B243" s="37"/>
      <c r="I243" s="122"/>
    </row>
    <row r="244" spans="2:9">
      <c r="B244" s="37"/>
      <c r="I244" s="122"/>
    </row>
    <row r="245" spans="2:9">
      <c r="B245" s="37"/>
      <c r="I245" s="122"/>
    </row>
    <row r="246" spans="2:9">
      <c r="B246" s="37"/>
      <c r="I246" s="122"/>
    </row>
    <row r="247" spans="2:9">
      <c r="B247" s="37"/>
      <c r="I247" s="122"/>
    </row>
    <row r="248" spans="2:9">
      <c r="B248" s="37"/>
      <c r="I248" s="122"/>
    </row>
    <row r="249" spans="2:9">
      <c r="B249" s="37"/>
      <c r="I249" s="122"/>
    </row>
    <row r="250" spans="2:9">
      <c r="B250" s="37"/>
      <c r="I250" s="122"/>
    </row>
    <row r="251" spans="2:9">
      <c r="B251" s="37"/>
      <c r="I251" s="122"/>
    </row>
    <row r="252" spans="2:9">
      <c r="B252" s="37"/>
      <c r="I252" s="122"/>
    </row>
    <row r="253" spans="2:9">
      <c r="B253" s="37"/>
      <c r="I253" s="122"/>
    </row>
    <row r="254" spans="2:9">
      <c r="B254" s="37"/>
      <c r="I254" s="122"/>
    </row>
    <row r="255" spans="2:9">
      <c r="B255" s="37"/>
      <c r="I255" s="122"/>
    </row>
    <row r="256" spans="2:9">
      <c r="B256" s="37"/>
      <c r="I256" s="122"/>
    </row>
    <row r="257" spans="2:9">
      <c r="B257" s="37"/>
      <c r="I257" s="122"/>
    </row>
    <row r="258" spans="2:9">
      <c r="B258" s="37"/>
      <c r="I258" s="122"/>
    </row>
    <row r="259" spans="2:9">
      <c r="B259" s="37"/>
      <c r="I259" s="122"/>
    </row>
    <row r="260" spans="2:9">
      <c r="B260" s="37"/>
      <c r="I260" s="122"/>
    </row>
    <row r="261" spans="2:9">
      <c r="B261" s="37"/>
      <c r="I261" s="122"/>
    </row>
    <row r="262" spans="2:9">
      <c r="B262" s="37"/>
      <c r="I262" s="122"/>
    </row>
    <row r="263" spans="2:9">
      <c r="B263" s="37"/>
      <c r="I263" s="122"/>
    </row>
    <row r="264" spans="2:9">
      <c r="B264" s="37"/>
      <c r="I264" s="122"/>
    </row>
    <row r="265" spans="2:9">
      <c r="B265" s="37"/>
      <c r="I265" s="122"/>
    </row>
    <row r="266" spans="2:9">
      <c r="B266" s="37"/>
      <c r="I266" s="122"/>
    </row>
    <row r="267" spans="2:9">
      <c r="B267" s="37"/>
      <c r="I267" s="122"/>
    </row>
    <row r="268" spans="2:9">
      <c r="B268" s="37"/>
      <c r="I268" s="122"/>
    </row>
    <row r="269" spans="2:9">
      <c r="B269" s="37"/>
      <c r="I269" s="122"/>
    </row>
    <row r="270" spans="2:9">
      <c r="B270" s="37"/>
      <c r="I270" s="122"/>
    </row>
    <row r="271" spans="2:9">
      <c r="B271" s="37"/>
      <c r="I271" s="122"/>
    </row>
    <row r="272" spans="2:9">
      <c r="B272" s="37"/>
      <c r="I272" s="122"/>
    </row>
    <row r="273" spans="2:9">
      <c r="B273" s="37"/>
      <c r="I273" s="122"/>
    </row>
    <row r="274" spans="2:9">
      <c r="I274" s="122"/>
    </row>
    <row r="275" spans="2:9">
      <c r="I275" s="122"/>
    </row>
    <row r="276" spans="2:9">
      <c r="I276" s="122"/>
    </row>
    <row r="277" spans="2:9">
      <c r="I277" s="122"/>
    </row>
    <row r="278" spans="2:9">
      <c r="I278" s="122"/>
    </row>
    <row r="279" spans="2:9">
      <c r="I279" s="122"/>
    </row>
    <row r="280" spans="2:9">
      <c r="I280" s="122"/>
    </row>
    <row r="281" spans="2:9">
      <c r="I281" s="122"/>
    </row>
    <row r="282" spans="2:9">
      <c r="I282" s="122"/>
    </row>
    <row r="283" spans="2:9">
      <c r="I283" s="122"/>
    </row>
    <row r="284" spans="2:9">
      <c r="I284" s="122"/>
    </row>
    <row r="285" spans="2:9">
      <c r="I285" s="122"/>
    </row>
    <row r="286" spans="2:9">
      <c r="I286" s="122"/>
    </row>
    <row r="287" spans="2:9">
      <c r="I287" s="122"/>
    </row>
    <row r="288" spans="2:9">
      <c r="I288" s="122"/>
    </row>
    <row r="289" spans="9:9">
      <c r="I289" s="122"/>
    </row>
    <row r="290" spans="9:9">
      <c r="I290" s="122"/>
    </row>
    <row r="291" spans="9:9">
      <c r="I291" s="122"/>
    </row>
    <row r="292" spans="9:9">
      <c r="I292" s="122"/>
    </row>
    <row r="293" spans="9:9">
      <c r="I293" s="122"/>
    </row>
    <row r="294" spans="9:9">
      <c r="I294" s="122"/>
    </row>
    <row r="295" spans="9:9">
      <c r="I295" s="122"/>
    </row>
    <row r="296" spans="9:9">
      <c r="I296" s="122"/>
    </row>
    <row r="297" spans="9:9">
      <c r="I297" s="122"/>
    </row>
    <row r="298" spans="9:9">
      <c r="I298" s="122"/>
    </row>
    <row r="299" spans="9:9">
      <c r="I299" s="122"/>
    </row>
    <row r="300" spans="9:9">
      <c r="I300" s="122"/>
    </row>
    <row r="301" spans="9:9">
      <c r="I301" s="122"/>
    </row>
    <row r="302" spans="9:9">
      <c r="I302" s="122"/>
    </row>
    <row r="303" spans="9:9">
      <c r="I303" s="122"/>
    </row>
    <row r="304" spans="9:9">
      <c r="I304" s="122"/>
    </row>
    <row r="305" spans="9:9">
      <c r="I305" s="122"/>
    </row>
    <row r="306" spans="9:9">
      <c r="I306" s="122"/>
    </row>
    <row r="307" spans="9:9">
      <c r="I307" s="122"/>
    </row>
    <row r="308" spans="9:9">
      <c r="I308" s="122"/>
    </row>
    <row r="309" spans="9:9">
      <c r="I309" s="122"/>
    </row>
    <row r="310" spans="9:9">
      <c r="I310" s="122"/>
    </row>
    <row r="311" spans="9:9">
      <c r="I311" s="122"/>
    </row>
    <row r="312" spans="9:9">
      <c r="I312" s="122"/>
    </row>
    <row r="313" spans="9:9">
      <c r="I313" s="122"/>
    </row>
    <row r="314" spans="9:9">
      <c r="I314" s="122"/>
    </row>
    <row r="315" spans="9:9">
      <c r="I315" s="122"/>
    </row>
    <row r="316" spans="9:9">
      <c r="I316" s="122"/>
    </row>
    <row r="317" spans="9:9">
      <c r="I317" s="122"/>
    </row>
    <row r="318" spans="9:9">
      <c r="I318" s="122"/>
    </row>
    <row r="319" spans="9:9">
      <c r="I319" s="122"/>
    </row>
    <row r="320" spans="9:9">
      <c r="I320" s="122"/>
    </row>
    <row r="321" spans="9:9">
      <c r="I321" s="122"/>
    </row>
    <row r="322" spans="9:9">
      <c r="I322" s="122"/>
    </row>
    <row r="323" spans="9:9">
      <c r="I323" s="122"/>
    </row>
    <row r="324" spans="9:9">
      <c r="I324" s="122"/>
    </row>
    <row r="325" spans="9:9">
      <c r="I325" s="122"/>
    </row>
    <row r="326" spans="9:9">
      <c r="I326" s="122"/>
    </row>
    <row r="327" spans="9:9">
      <c r="I327" s="122"/>
    </row>
    <row r="328" spans="9:9">
      <c r="I328" s="122"/>
    </row>
    <row r="329" spans="9:9">
      <c r="I329" s="122"/>
    </row>
    <row r="330" spans="9:9">
      <c r="I330" s="122"/>
    </row>
    <row r="331" spans="9:9">
      <c r="I331" s="122"/>
    </row>
    <row r="332" spans="9:9">
      <c r="I332" s="122"/>
    </row>
    <row r="333" spans="9:9">
      <c r="I333" s="122"/>
    </row>
    <row r="334" spans="9:9">
      <c r="I334" s="122"/>
    </row>
    <row r="335" spans="9:9">
      <c r="I335" s="122"/>
    </row>
    <row r="336" spans="9:9">
      <c r="I336" s="122"/>
    </row>
    <row r="337" spans="9:9">
      <c r="I337" s="122"/>
    </row>
    <row r="338" spans="9:9">
      <c r="I338" s="122"/>
    </row>
    <row r="339" spans="9:9">
      <c r="I339" s="122"/>
    </row>
    <row r="340" spans="9:9">
      <c r="I340" s="122"/>
    </row>
    <row r="341" spans="9:9">
      <c r="I341" s="122"/>
    </row>
    <row r="342" spans="9:9">
      <c r="I342" s="122"/>
    </row>
    <row r="343" spans="9:9">
      <c r="I343" s="122"/>
    </row>
    <row r="344" spans="9:9">
      <c r="I344" s="122"/>
    </row>
    <row r="345" spans="9:9">
      <c r="I345" s="122"/>
    </row>
    <row r="346" spans="9:9">
      <c r="I346" s="122"/>
    </row>
    <row r="347" spans="9:9">
      <c r="I347" s="122"/>
    </row>
    <row r="348" spans="9:9">
      <c r="I348" s="122"/>
    </row>
    <row r="349" spans="9:9">
      <c r="I349" s="122"/>
    </row>
    <row r="350" spans="9:9">
      <c r="I350" s="122"/>
    </row>
    <row r="351" spans="9:9">
      <c r="I351" s="122"/>
    </row>
    <row r="352" spans="9:9">
      <c r="I352" s="122"/>
    </row>
    <row r="353" spans="9:9">
      <c r="I353" s="122"/>
    </row>
    <row r="354" spans="9:9">
      <c r="I354" s="122"/>
    </row>
    <row r="355" spans="9:9">
      <c r="I355" s="122"/>
    </row>
    <row r="356" spans="9:9">
      <c r="I356" s="122"/>
    </row>
    <row r="357" spans="9:9">
      <c r="I357" s="122"/>
    </row>
    <row r="358" spans="9:9">
      <c r="I358" s="122"/>
    </row>
    <row r="359" spans="9:9">
      <c r="I359" s="122"/>
    </row>
    <row r="360" spans="9:9">
      <c r="I360" s="122"/>
    </row>
    <row r="361" spans="9:9">
      <c r="I361" s="122"/>
    </row>
    <row r="362" spans="9:9">
      <c r="I362" s="122"/>
    </row>
    <row r="363" spans="9:9">
      <c r="I363" s="122"/>
    </row>
    <row r="364" spans="9:9">
      <c r="I364" s="122"/>
    </row>
    <row r="365" spans="9:9">
      <c r="I365" s="122"/>
    </row>
    <row r="366" spans="9:9">
      <c r="I366" s="122"/>
    </row>
    <row r="367" spans="9:9">
      <c r="I367" s="122"/>
    </row>
    <row r="368" spans="9:9">
      <c r="I368" s="122"/>
    </row>
    <row r="369" spans="9:9">
      <c r="I369" s="122"/>
    </row>
    <row r="370" spans="9:9">
      <c r="I370" s="122"/>
    </row>
    <row r="371" spans="9:9">
      <c r="I371" s="122"/>
    </row>
    <row r="372" spans="9:9">
      <c r="I372" s="122"/>
    </row>
    <row r="373" spans="9:9">
      <c r="I373" s="122"/>
    </row>
    <row r="374" spans="9:9">
      <c r="I374" s="122"/>
    </row>
    <row r="375" spans="9:9">
      <c r="I375" s="122"/>
    </row>
    <row r="376" spans="9:9">
      <c r="I376" s="122"/>
    </row>
    <row r="377" spans="9:9">
      <c r="I377" s="122"/>
    </row>
    <row r="378" spans="9:9">
      <c r="I378" s="122"/>
    </row>
    <row r="379" spans="9:9">
      <c r="I379" s="122"/>
    </row>
    <row r="380" spans="9:9">
      <c r="I380" s="122"/>
    </row>
    <row r="381" spans="9:9">
      <c r="I381" s="122"/>
    </row>
    <row r="382" spans="9:9">
      <c r="I382" s="122"/>
    </row>
    <row r="383" spans="9:9">
      <c r="I383" s="122"/>
    </row>
    <row r="384" spans="9:9">
      <c r="I384" s="122"/>
    </row>
    <row r="385" spans="9:9">
      <c r="I385" s="122"/>
    </row>
    <row r="386" spans="9:9">
      <c r="I386" s="122"/>
    </row>
    <row r="387" spans="9:9">
      <c r="I387" s="122"/>
    </row>
    <row r="388" spans="9:9">
      <c r="I388" s="122"/>
    </row>
    <row r="389" spans="9:9">
      <c r="I389" s="122"/>
    </row>
    <row r="390" spans="9:9">
      <c r="I390" s="122"/>
    </row>
    <row r="391" spans="9:9">
      <c r="I391" s="122"/>
    </row>
    <row r="392" spans="9:9">
      <c r="I392" s="122"/>
    </row>
    <row r="393" spans="9:9">
      <c r="I393" s="122"/>
    </row>
    <row r="394" spans="9:9">
      <c r="I394" s="122"/>
    </row>
    <row r="395" spans="9:9">
      <c r="I395" s="122"/>
    </row>
    <row r="396" spans="9:9">
      <c r="I396" s="122"/>
    </row>
    <row r="397" spans="9:9">
      <c r="I397" s="122"/>
    </row>
    <row r="398" spans="9:9">
      <c r="I398" s="122"/>
    </row>
    <row r="399" spans="9:9">
      <c r="I399" s="122"/>
    </row>
    <row r="400" spans="9:9">
      <c r="I400" s="122"/>
    </row>
    <row r="401" spans="9:9">
      <c r="I401" s="122"/>
    </row>
    <row r="402" spans="9:9">
      <c r="I402" s="122"/>
    </row>
    <row r="403" spans="9:9">
      <c r="I403" s="122"/>
    </row>
    <row r="404" spans="9:9">
      <c r="I404" s="122"/>
    </row>
    <row r="405" spans="9:9">
      <c r="I405" s="122"/>
    </row>
    <row r="406" spans="9:9">
      <c r="I406" s="122"/>
    </row>
    <row r="407" spans="9:9">
      <c r="I407" s="122"/>
    </row>
    <row r="408" spans="9:9">
      <c r="I408" s="122"/>
    </row>
    <row r="409" spans="9:9">
      <c r="I409" s="122"/>
    </row>
    <row r="410" spans="9:9">
      <c r="I410" s="122"/>
    </row>
    <row r="411" spans="9:9">
      <c r="I411" s="122"/>
    </row>
    <row r="412" spans="9:9">
      <c r="I412" s="122"/>
    </row>
    <row r="413" spans="9:9">
      <c r="I413" s="122"/>
    </row>
    <row r="414" spans="9:9">
      <c r="I414" s="122"/>
    </row>
    <row r="415" spans="9:9">
      <c r="I415" s="122"/>
    </row>
    <row r="416" spans="9:9">
      <c r="I416" s="122"/>
    </row>
    <row r="417" spans="9:9">
      <c r="I417" s="122"/>
    </row>
    <row r="418" spans="9:9">
      <c r="I418" s="122"/>
    </row>
    <row r="419" spans="9:9">
      <c r="I419" s="122"/>
    </row>
    <row r="420" spans="9:9">
      <c r="I420" s="122"/>
    </row>
    <row r="421" spans="9:9">
      <c r="I421" s="122"/>
    </row>
    <row r="422" spans="9:9">
      <c r="I422" s="122"/>
    </row>
    <row r="423" spans="9:9">
      <c r="I423" s="122"/>
    </row>
    <row r="424" spans="9:9">
      <c r="I424" s="122"/>
    </row>
    <row r="425" spans="9:9">
      <c r="I425" s="122"/>
    </row>
    <row r="426" spans="9:9">
      <c r="I426" s="122"/>
    </row>
    <row r="427" spans="9:9">
      <c r="I427" s="122"/>
    </row>
    <row r="428" spans="9:9">
      <c r="I428" s="122"/>
    </row>
    <row r="429" spans="9:9">
      <c r="I429" s="122"/>
    </row>
    <row r="430" spans="9:9">
      <c r="I430" s="122"/>
    </row>
    <row r="431" spans="9:9">
      <c r="I431" s="122"/>
    </row>
    <row r="432" spans="9:9">
      <c r="I432" s="122"/>
    </row>
    <row r="433" spans="9:9">
      <c r="I433" s="122"/>
    </row>
    <row r="434" spans="9:9">
      <c r="I434" s="122"/>
    </row>
    <row r="435" spans="9:9">
      <c r="I435" s="122"/>
    </row>
    <row r="436" spans="9:9">
      <c r="I436" s="122"/>
    </row>
    <row r="437" spans="9:9">
      <c r="I437" s="122"/>
    </row>
    <row r="438" spans="9:9">
      <c r="I438" s="122"/>
    </row>
    <row r="439" spans="9:9">
      <c r="I439" s="122"/>
    </row>
    <row r="440" spans="9:9">
      <c r="I440" s="122"/>
    </row>
    <row r="441" spans="9:9">
      <c r="I441" s="122"/>
    </row>
    <row r="442" spans="9:9">
      <c r="I442" s="122"/>
    </row>
    <row r="443" spans="9:9">
      <c r="I443" s="122"/>
    </row>
    <row r="444" spans="9:9">
      <c r="I444" s="122"/>
    </row>
    <row r="445" spans="9:9">
      <c r="I445" s="122"/>
    </row>
    <row r="446" spans="9:9">
      <c r="I446" s="122"/>
    </row>
    <row r="447" spans="9:9">
      <c r="I447" s="122"/>
    </row>
    <row r="448" spans="9:9">
      <c r="I448" s="122"/>
    </row>
    <row r="449" spans="9:9">
      <c r="I449" s="122"/>
    </row>
    <row r="450" spans="9:9">
      <c r="I450" s="122"/>
    </row>
    <row r="451" spans="9:9">
      <c r="I451" s="122"/>
    </row>
    <row r="452" spans="9:9">
      <c r="I452" s="122"/>
    </row>
    <row r="453" spans="9:9">
      <c r="I453" s="122"/>
    </row>
    <row r="454" spans="9:9">
      <c r="I454" s="122"/>
    </row>
    <row r="455" spans="9:9">
      <c r="I455" s="122"/>
    </row>
    <row r="456" spans="9:9">
      <c r="I456" s="122"/>
    </row>
    <row r="457" spans="9:9">
      <c r="I457" s="122"/>
    </row>
    <row r="458" spans="9:9">
      <c r="I458" s="122"/>
    </row>
    <row r="459" spans="9:9">
      <c r="I459" s="122"/>
    </row>
    <row r="460" spans="9:9">
      <c r="I460" s="122"/>
    </row>
    <row r="461" spans="9:9">
      <c r="I461" s="122"/>
    </row>
    <row r="462" spans="9:9">
      <c r="I462" s="122"/>
    </row>
    <row r="463" spans="9:9">
      <c r="I463" s="122"/>
    </row>
    <row r="464" spans="9:9">
      <c r="I464" s="122"/>
    </row>
    <row r="465" spans="9:9">
      <c r="I465" s="122"/>
    </row>
    <row r="466" spans="9:9">
      <c r="I466" s="122"/>
    </row>
    <row r="467" spans="9:9">
      <c r="I467" s="122"/>
    </row>
    <row r="468" spans="9:9">
      <c r="I468" s="122"/>
    </row>
    <row r="469" spans="9:9">
      <c r="I469" s="122"/>
    </row>
    <row r="470" spans="9:9">
      <c r="I470" s="122"/>
    </row>
    <row r="471" spans="9:9">
      <c r="I471" s="122"/>
    </row>
    <row r="472" spans="9:9">
      <c r="I472" s="122"/>
    </row>
    <row r="473" spans="9:9">
      <c r="I473" s="122"/>
    </row>
    <row r="474" spans="9:9">
      <c r="I474" s="122"/>
    </row>
    <row r="475" spans="9:9">
      <c r="I475" s="122"/>
    </row>
    <row r="476" spans="9:9">
      <c r="I476" s="122"/>
    </row>
    <row r="477" spans="9:9">
      <c r="I477" s="122"/>
    </row>
    <row r="478" spans="9:9">
      <c r="I478" s="122"/>
    </row>
    <row r="479" spans="9:9">
      <c r="I479" s="122"/>
    </row>
    <row r="480" spans="9:9">
      <c r="I480" s="122"/>
    </row>
    <row r="481" spans="9:9">
      <c r="I481" s="122"/>
    </row>
    <row r="482" spans="9:9">
      <c r="I482" s="122"/>
    </row>
    <row r="483" spans="9:9">
      <c r="I483" s="122"/>
    </row>
    <row r="484" spans="9:9">
      <c r="I484" s="122"/>
    </row>
    <row r="485" spans="9:9">
      <c r="I485" s="122"/>
    </row>
    <row r="486" spans="9:9">
      <c r="I486" s="122"/>
    </row>
    <row r="487" spans="9:9">
      <c r="I487" s="122"/>
    </row>
    <row r="488" spans="9:9">
      <c r="I488" s="122"/>
    </row>
    <row r="489" spans="9:9">
      <c r="I489" s="122"/>
    </row>
    <row r="490" spans="9:9">
      <c r="I490" s="122"/>
    </row>
    <row r="491" spans="9:9">
      <c r="I491" s="122"/>
    </row>
    <row r="492" spans="9:9">
      <c r="I492" s="122"/>
    </row>
    <row r="493" spans="9:9">
      <c r="I493" s="122"/>
    </row>
    <row r="494" spans="9:9">
      <c r="I494" s="122"/>
    </row>
    <row r="495" spans="9:9">
      <c r="I495" s="122"/>
    </row>
    <row r="496" spans="9:9">
      <c r="I496" s="122"/>
    </row>
    <row r="497" spans="9:9">
      <c r="I497" s="122"/>
    </row>
    <row r="498" spans="9:9">
      <c r="I498" s="122"/>
    </row>
    <row r="499" spans="9:9">
      <c r="I499" s="122"/>
    </row>
    <row r="500" spans="9:9">
      <c r="I500" s="122"/>
    </row>
    <row r="501" spans="9:9">
      <c r="I501" s="122"/>
    </row>
    <row r="502" spans="9:9">
      <c r="I502" s="122"/>
    </row>
    <row r="503" spans="9:9">
      <c r="I503" s="122"/>
    </row>
    <row r="504" spans="9:9">
      <c r="I504" s="122"/>
    </row>
    <row r="505" spans="9:9">
      <c r="I505" s="122"/>
    </row>
    <row r="506" spans="9:9">
      <c r="I506" s="122"/>
    </row>
    <row r="507" spans="9:9">
      <c r="I507" s="122"/>
    </row>
    <row r="508" spans="9:9">
      <c r="I508" s="122"/>
    </row>
    <row r="509" spans="9:9">
      <c r="I509" s="122"/>
    </row>
    <row r="510" spans="9:9">
      <c r="I510" s="122"/>
    </row>
    <row r="511" spans="9:9">
      <c r="I511" s="122"/>
    </row>
    <row r="512" spans="9:9">
      <c r="I512" s="122"/>
    </row>
    <row r="513" spans="9:9">
      <c r="I513" s="122"/>
    </row>
    <row r="514" spans="9:9">
      <c r="I514" s="122"/>
    </row>
    <row r="515" spans="9:9">
      <c r="I515" s="122"/>
    </row>
    <row r="516" spans="9:9">
      <c r="I516" s="122"/>
    </row>
    <row r="517" spans="9:9">
      <c r="I517" s="122"/>
    </row>
    <row r="518" spans="9:9">
      <c r="I518" s="122"/>
    </row>
    <row r="519" spans="9:9">
      <c r="I519" s="122"/>
    </row>
    <row r="520" spans="9:9">
      <c r="I520" s="122"/>
    </row>
    <row r="521" spans="9:9">
      <c r="I521" s="122"/>
    </row>
    <row r="522" spans="9:9">
      <c r="I522" s="122"/>
    </row>
    <row r="523" spans="9:9">
      <c r="I523" s="122"/>
    </row>
    <row r="524" spans="9:9">
      <c r="I524" s="122"/>
    </row>
    <row r="525" spans="9:9">
      <c r="I525" s="122"/>
    </row>
    <row r="526" spans="9:9">
      <c r="I526" s="122"/>
    </row>
    <row r="527" spans="9:9">
      <c r="I527" s="122"/>
    </row>
    <row r="528" spans="9:9">
      <c r="I528" s="122"/>
    </row>
    <row r="529" spans="9:9">
      <c r="I529" s="122"/>
    </row>
    <row r="530" spans="9:9">
      <c r="I530" s="122"/>
    </row>
    <row r="531" spans="9:9">
      <c r="I531" s="122"/>
    </row>
    <row r="532" spans="9:9">
      <c r="I532" s="122"/>
    </row>
    <row r="533" spans="9:9">
      <c r="I533" s="122"/>
    </row>
    <row r="534" spans="9:9">
      <c r="I534" s="122"/>
    </row>
    <row r="535" spans="9:9">
      <c r="I535" s="122"/>
    </row>
    <row r="536" spans="9:9">
      <c r="I536" s="122"/>
    </row>
    <row r="537" spans="9:9">
      <c r="I537" s="122"/>
    </row>
    <row r="538" spans="9:9">
      <c r="I538" s="122"/>
    </row>
    <row r="539" spans="9:9">
      <c r="I539" s="122"/>
    </row>
    <row r="540" spans="9:9">
      <c r="I540" s="122"/>
    </row>
    <row r="541" spans="9:9">
      <c r="I541" s="122"/>
    </row>
    <row r="542" spans="9:9">
      <c r="I542" s="122"/>
    </row>
    <row r="543" spans="9:9">
      <c r="I543" s="122"/>
    </row>
    <row r="544" spans="9:9">
      <c r="I544" s="122"/>
    </row>
    <row r="545" spans="9:9">
      <c r="I545" s="122"/>
    </row>
    <row r="546" spans="9:9">
      <c r="I546" s="122"/>
    </row>
    <row r="547" spans="9:9">
      <c r="I547" s="122"/>
    </row>
    <row r="548" spans="9:9">
      <c r="I548" s="122"/>
    </row>
    <row r="549" spans="9:9">
      <c r="I549" s="122"/>
    </row>
    <row r="550" spans="9:9">
      <c r="I550" s="122"/>
    </row>
    <row r="551" spans="9:9">
      <c r="I551" s="122"/>
    </row>
    <row r="552" spans="9:9">
      <c r="I552" s="122"/>
    </row>
    <row r="553" spans="9:9">
      <c r="I553" s="122"/>
    </row>
    <row r="554" spans="9:9">
      <c r="I554" s="122"/>
    </row>
    <row r="555" spans="9:9">
      <c r="I555" s="122"/>
    </row>
    <row r="556" spans="9:9">
      <c r="I556" s="122"/>
    </row>
    <row r="557" spans="9:9">
      <c r="I557" s="122"/>
    </row>
    <row r="558" spans="9:9">
      <c r="I558" s="122"/>
    </row>
    <row r="559" spans="9:9">
      <c r="I559" s="122"/>
    </row>
    <row r="560" spans="9:9">
      <c r="I560" s="122"/>
    </row>
    <row r="561" spans="9:9">
      <c r="I561" s="122"/>
    </row>
    <row r="562" spans="9:9">
      <c r="I562" s="122"/>
    </row>
    <row r="563" spans="9:9">
      <c r="I563" s="122"/>
    </row>
    <row r="564" spans="9:9">
      <c r="I564" s="122"/>
    </row>
    <row r="565" spans="9:9">
      <c r="I565" s="122"/>
    </row>
    <row r="566" spans="9:9">
      <c r="I566" s="122"/>
    </row>
    <row r="567" spans="9:9">
      <c r="I567" s="122"/>
    </row>
    <row r="568" spans="9:9">
      <c r="I568" s="122"/>
    </row>
    <row r="569" spans="9:9">
      <c r="I569" s="122"/>
    </row>
    <row r="570" spans="9:9">
      <c r="I570" s="122"/>
    </row>
    <row r="571" spans="9:9">
      <c r="I571" s="122"/>
    </row>
    <row r="572" spans="9:9">
      <c r="I572" s="122"/>
    </row>
    <row r="573" spans="9:9">
      <c r="I573" s="122"/>
    </row>
    <row r="574" spans="9:9">
      <c r="I574" s="122"/>
    </row>
    <row r="575" spans="9:9">
      <c r="I575" s="122"/>
    </row>
    <row r="576" spans="9:9">
      <c r="I576" s="122"/>
    </row>
    <row r="577" spans="9:9">
      <c r="I577" s="122"/>
    </row>
    <row r="578" spans="9:9">
      <c r="I578" s="122"/>
    </row>
    <row r="579" spans="9:9">
      <c r="I579" s="122"/>
    </row>
    <row r="580" spans="9:9">
      <c r="I580" s="122"/>
    </row>
    <row r="581" spans="9:9">
      <c r="I581" s="122"/>
    </row>
    <row r="582" spans="9:9">
      <c r="I582" s="122"/>
    </row>
    <row r="583" spans="9:9">
      <c r="I583" s="122"/>
    </row>
    <row r="584" spans="9:9">
      <c r="I584" s="122"/>
    </row>
    <row r="585" spans="9:9">
      <c r="I585" s="122"/>
    </row>
    <row r="586" spans="9:9">
      <c r="I586" s="122"/>
    </row>
    <row r="587" spans="9:9">
      <c r="I587" s="122"/>
    </row>
    <row r="588" spans="9:9">
      <c r="I588" s="122"/>
    </row>
    <row r="589" spans="9:9">
      <c r="I589" s="122"/>
    </row>
    <row r="590" spans="9:9">
      <c r="I590" s="122"/>
    </row>
    <row r="591" spans="9:9">
      <c r="I591" s="122"/>
    </row>
    <row r="592" spans="9:9">
      <c r="I592" s="122"/>
    </row>
    <row r="593" spans="9:9">
      <c r="I593" s="122"/>
    </row>
    <row r="594" spans="9:9">
      <c r="I594" s="122"/>
    </row>
    <row r="595" spans="9:9">
      <c r="I595" s="122"/>
    </row>
    <row r="596" spans="9:9">
      <c r="I596" s="122"/>
    </row>
    <row r="597" spans="9:9">
      <c r="I597" s="122"/>
    </row>
    <row r="598" spans="9:9">
      <c r="I598" s="122"/>
    </row>
    <row r="599" spans="9:9">
      <c r="I599" s="122"/>
    </row>
    <row r="600" spans="9:9">
      <c r="I600" s="122"/>
    </row>
    <row r="601" spans="9:9">
      <c r="I601" s="122"/>
    </row>
    <row r="602" spans="9:9">
      <c r="I602" s="122"/>
    </row>
    <row r="603" spans="9:9">
      <c r="I603" s="122"/>
    </row>
    <row r="604" spans="9:9">
      <c r="I604" s="122"/>
    </row>
    <row r="605" spans="9:9">
      <c r="I605" s="122"/>
    </row>
    <row r="606" spans="9:9">
      <c r="I606" s="122"/>
    </row>
    <row r="607" spans="9:9">
      <c r="I607" s="122"/>
    </row>
    <row r="608" spans="9:9">
      <c r="I608" s="122"/>
    </row>
    <row r="609" spans="9:9">
      <c r="I609" s="122"/>
    </row>
    <row r="610" spans="9:9">
      <c r="I610" s="122"/>
    </row>
    <row r="611" spans="9:9">
      <c r="I611" s="122"/>
    </row>
    <row r="612" spans="9:9">
      <c r="I612" s="122"/>
    </row>
    <row r="613" spans="9:9">
      <c r="I613" s="122"/>
    </row>
    <row r="614" spans="9:9">
      <c r="I614" s="122"/>
    </row>
    <row r="615" spans="9:9">
      <c r="I615" s="122"/>
    </row>
    <row r="616" spans="9:9">
      <c r="I616" s="122"/>
    </row>
    <row r="617" spans="9:9">
      <c r="I617" s="122"/>
    </row>
    <row r="618" spans="9:9">
      <c r="I618" s="122"/>
    </row>
    <row r="619" spans="9:9">
      <c r="I619" s="122"/>
    </row>
    <row r="620" spans="9:9">
      <c r="I620" s="122"/>
    </row>
    <row r="621" spans="9:9">
      <c r="I621" s="122"/>
    </row>
    <row r="622" spans="9:9">
      <c r="I622" s="122"/>
    </row>
    <row r="623" spans="9:9">
      <c r="I623" s="122"/>
    </row>
    <row r="624" spans="9:9">
      <c r="I624" s="122"/>
    </row>
    <row r="625" spans="9:9">
      <c r="I625" s="122"/>
    </row>
    <row r="626" spans="9:9">
      <c r="I626" s="122"/>
    </row>
    <row r="627" spans="9:9">
      <c r="I627" s="122"/>
    </row>
    <row r="628" spans="9:9">
      <c r="I628" s="122"/>
    </row>
    <row r="629" spans="9:9">
      <c r="I629" s="122"/>
    </row>
    <row r="630" spans="9:9">
      <c r="I630" s="122"/>
    </row>
    <row r="631" spans="9:9">
      <c r="I631" s="122"/>
    </row>
    <row r="632" spans="9:9">
      <c r="I632" s="122"/>
    </row>
    <row r="633" spans="9:9">
      <c r="I633" s="122"/>
    </row>
    <row r="634" spans="9:9">
      <c r="I634" s="122"/>
    </row>
    <row r="635" spans="9:9">
      <c r="I635" s="122"/>
    </row>
    <row r="636" spans="9:9">
      <c r="I636" s="122"/>
    </row>
    <row r="637" spans="9:9">
      <c r="I637" s="122"/>
    </row>
    <row r="638" spans="9:9">
      <c r="I638" s="122"/>
    </row>
    <row r="639" spans="9:9">
      <c r="I639" s="122"/>
    </row>
    <row r="640" spans="9:9">
      <c r="I640" s="122"/>
    </row>
    <row r="641" spans="9:9">
      <c r="I641" s="122"/>
    </row>
    <row r="642" spans="9:9">
      <c r="I642" s="122"/>
    </row>
    <row r="643" spans="9:9">
      <c r="I643" s="122"/>
    </row>
    <row r="644" spans="9:9">
      <c r="I644" s="122"/>
    </row>
    <row r="645" spans="9:9">
      <c r="I645" s="122"/>
    </row>
    <row r="646" spans="9:9">
      <c r="I646" s="122"/>
    </row>
    <row r="647" spans="9:9">
      <c r="I647" s="122"/>
    </row>
    <row r="648" spans="9:9">
      <c r="I648" s="122"/>
    </row>
    <row r="649" spans="9:9">
      <c r="I649" s="122"/>
    </row>
    <row r="650" spans="9:9">
      <c r="I650" s="122"/>
    </row>
    <row r="651" spans="9:9">
      <c r="I651" s="122"/>
    </row>
    <row r="652" spans="9:9">
      <c r="I652" s="122"/>
    </row>
    <row r="653" spans="9:9">
      <c r="I653" s="122"/>
    </row>
    <row r="654" spans="9:9">
      <c r="I654" s="122"/>
    </row>
    <row r="655" spans="9:9">
      <c r="I655" s="122"/>
    </row>
    <row r="656" spans="9:9">
      <c r="I656" s="122"/>
    </row>
    <row r="657" spans="9:9">
      <c r="I657" s="122"/>
    </row>
    <row r="658" spans="9:9">
      <c r="I658" s="122"/>
    </row>
    <row r="659" spans="9:9">
      <c r="I659" s="122"/>
    </row>
    <row r="660" spans="9:9">
      <c r="I660" s="122"/>
    </row>
    <row r="661" spans="9:9">
      <c r="I661" s="122"/>
    </row>
    <row r="662" spans="9:9">
      <c r="I662" s="122"/>
    </row>
    <row r="663" spans="9:9">
      <c r="I663" s="122"/>
    </row>
    <row r="664" spans="9:9">
      <c r="I664" s="122"/>
    </row>
    <row r="665" spans="9:9">
      <c r="I665" s="122"/>
    </row>
    <row r="666" spans="9:9">
      <c r="I666" s="122"/>
    </row>
    <row r="667" spans="9:9">
      <c r="I667" s="122"/>
    </row>
    <row r="668" spans="9:9">
      <c r="I668" s="122"/>
    </row>
    <row r="669" spans="9:9">
      <c r="I669" s="122"/>
    </row>
    <row r="670" spans="9:9">
      <c r="I670" s="122"/>
    </row>
    <row r="671" spans="9:9">
      <c r="I671" s="122"/>
    </row>
    <row r="672" spans="9:9">
      <c r="I672" s="122"/>
    </row>
    <row r="673" spans="9:9">
      <c r="I673" s="122"/>
    </row>
    <row r="674" spans="9:9">
      <c r="I674" s="122"/>
    </row>
    <row r="675" spans="9:9">
      <c r="I675" s="122"/>
    </row>
    <row r="676" spans="9:9">
      <c r="I676" s="122"/>
    </row>
    <row r="677" spans="9:9">
      <c r="I677" s="122"/>
    </row>
    <row r="678" spans="9:9">
      <c r="I678" s="122"/>
    </row>
    <row r="679" spans="9:9">
      <c r="I679" s="122"/>
    </row>
    <row r="680" spans="9:9">
      <c r="I680" s="122"/>
    </row>
    <row r="681" spans="9:9">
      <c r="I681" s="122"/>
    </row>
    <row r="682" spans="9:9">
      <c r="I682" s="122"/>
    </row>
    <row r="683" spans="9:9">
      <c r="I683" s="122"/>
    </row>
    <row r="684" spans="9:9">
      <c r="I684" s="122"/>
    </row>
    <row r="685" spans="9:9">
      <c r="I685" s="122"/>
    </row>
    <row r="686" spans="9:9">
      <c r="I686" s="122"/>
    </row>
    <row r="687" spans="9:9">
      <c r="I687" s="122"/>
    </row>
    <row r="688" spans="9:9">
      <c r="I688" s="122"/>
    </row>
    <row r="689" spans="9:9">
      <c r="I689" s="122"/>
    </row>
    <row r="690" spans="9:9">
      <c r="I690" s="122"/>
    </row>
    <row r="691" spans="9:9">
      <c r="I691" s="122"/>
    </row>
    <row r="692" spans="9:9">
      <c r="I692" s="122"/>
    </row>
    <row r="693" spans="9:9">
      <c r="I693" s="122"/>
    </row>
    <row r="694" spans="9:9">
      <c r="I694" s="122"/>
    </row>
    <row r="695" spans="9:9">
      <c r="I695" s="122"/>
    </row>
    <row r="696" spans="9:9">
      <c r="I696" s="122"/>
    </row>
    <row r="697" spans="9:9">
      <c r="I697" s="122"/>
    </row>
    <row r="698" spans="9:9">
      <c r="I698" s="122"/>
    </row>
    <row r="699" spans="9:9">
      <c r="I699" s="122"/>
    </row>
    <row r="700" spans="9:9">
      <c r="I700" s="122"/>
    </row>
    <row r="701" spans="9:9">
      <c r="I701" s="122"/>
    </row>
    <row r="702" spans="9:9">
      <c r="I702" s="122"/>
    </row>
    <row r="703" spans="9:9">
      <c r="I703" s="122"/>
    </row>
    <row r="704" spans="9:9">
      <c r="I704" s="122"/>
    </row>
    <row r="705" spans="9:9">
      <c r="I705" s="122"/>
    </row>
    <row r="706" spans="9:9">
      <c r="I706" s="122"/>
    </row>
    <row r="707" spans="9:9">
      <c r="I707" s="122"/>
    </row>
    <row r="708" spans="9:9">
      <c r="I708" s="122"/>
    </row>
    <row r="709" spans="9:9">
      <c r="I709" s="122"/>
    </row>
    <row r="710" spans="9:9">
      <c r="I710" s="122"/>
    </row>
    <row r="711" spans="9:9">
      <c r="I711" s="122"/>
    </row>
    <row r="712" spans="9:9">
      <c r="I712" s="122"/>
    </row>
    <row r="713" spans="9:9">
      <c r="I713" s="122"/>
    </row>
    <row r="714" spans="9:9">
      <c r="I714" s="122"/>
    </row>
    <row r="715" spans="9:9">
      <c r="I715" s="122"/>
    </row>
    <row r="716" spans="9:9">
      <c r="I716" s="122"/>
    </row>
    <row r="717" spans="9:9">
      <c r="I717" s="122"/>
    </row>
    <row r="718" spans="9:9">
      <c r="I718" s="122"/>
    </row>
    <row r="719" spans="9:9">
      <c r="I719" s="122"/>
    </row>
    <row r="720" spans="9:9">
      <c r="I720" s="122"/>
    </row>
    <row r="721" spans="9:9">
      <c r="I721" s="122"/>
    </row>
    <row r="722" spans="9:9">
      <c r="I722" s="122"/>
    </row>
    <row r="723" spans="9:9">
      <c r="I723" s="122"/>
    </row>
    <row r="724" spans="9:9">
      <c r="I724" s="122"/>
    </row>
    <row r="725" spans="9:9">
      <c r="I725" s="122"/>
    </row>
    <row r="726" spans="9:9">
      <c r="I726" s="122"/>
    </row>
    <row r="727" spans="9:9">
      <c r="I727" s="122"/>
    </row>
    <row r="728" spans="9:9">
      <c r="I728" s="122"/>
    </row>
    <row r="729" spans="9:9">
      <c r="I729" s="122"/>
    </row>
    <row r="730" spans="9:9">
      <c r="I730" s="122"/>
    </row>
    <row r="731" spans="9:9">
      <c r="I731" s="122"/>
    </row>
    <row r="732" spans="9:9">
      <c r="I732" s="122"/>
    </row>
    <row r="733" spans="9:9">
      <c r="I733" s="122"/>
    </row>
    <row r="734" spans="9:9">
      <c r="I734" s="122"/>
    </row>
    <row r="735" spans="9:9">
      <c r="I735" s="122"/>
    </row>
    <row r="736" spans="9:9">
      <c r="I736" s="122"/>
    </row>
    <row r="737" spans="9:9">
      <c r="I737" s="122"/>
    </row>
    <row r="738" spans="9:9">
      <c r="I738" s="122"/>
    </row>
    <row r="739" spans="9:9">
      <c r="I739" s="122"/>
    </row>
    <row r="740" spans="9:9">
      <c r="I740" s="122"/>
    </row>
    <row r="741" spans="9:9">
      <c r="I741" s="122"/>
    </row>
    <row r="742" spans="9:9">
      <c r="I742" s="122"/>
    </row>
    <row r="743" spans="9:9">
      <c r="I743" s="122"/>
    </row>
    <row r="744" spans="9:9">
      <c r="I744" s="122"/>
    </row>
    <row r="745" spans="9:9">
      <c r="I745" s="122"/>
    </row>
    <row r="746" spans="9:9">
      <c r="I746" s="122"/>
    </row>
    <row r="747" spans="9:9">
      <c r="I747" s="122"/>
    </row>
    <row r="748" spans="9:9">
      <c r="I748" s="122"/>
    </row>
    <row r="749" spans="9:9">
      <c r="I749" s="122"/>
    </row>
    <row r="750" spans="9:9">
      <c r="I750" s="122"/>
    </row>
    <row r="751" spans="9:9">
      <c r="I751" s="122"/>
    </row>
    <row r="752" spans="9:9">
      <c r="I752" s="122"/>
    </row>
    <row r="753" spans="9:9">
      <c r="I753" s="122"/>
    </row>
    <row r="754" spans="9:9">
      <c r="I754" s="122"/>
    </row>
    <row r="755" spans="9:9">
      <c r="I755" s="122"/>
    </row>
    <row r="756" spans="9:9">
      <c r="I756" s="122"/>
    </row>
    <row r="757" spans="9:9">
      <c r="I757" s="122"/>
    </row>
    <row r="758" spans="9:9">
      <c r="I758" s="122"/>
    </row>
    <row r="759" spans="9:9">
      <c r="I759" s="122"/>
    </row>
    <row r="760" spans="9:9">
      <c r="I760" s="122"/>
    </row>
    <row r="761" spans="9:9">
      <c r="I761" s="122"/>
    </row>
    <row r="762" spans="9:9">
      <c r="I762" s="122"/>
    </row>
    <row r="763" spans="9:9">
      <c r="I763" s="122"/>
    </row>
    <row r="764" spans="9:9">
      <c r="I764" s="122"/>
    </row>
    <row r="765" spans="9:9">
      <c r="I765" s="122"/>
    </row>
    <row r="766" spans="9:9">
      <c r="I766" s="122"/>
    </row>
    <row r="767" spans="9:9">
      <c r="I767" s="122"/>
    </row>
    <row r="768" spans="9:9">
      <c r="I768" s="122"/>
    </row>
    <row r="769" spans="9:9">
      <c r="I769" s="122"/>
    </row>
    <row r="770" spans="9:9">
      <c r="I770" s="122"/>
    </row>
    <row r="771" spans="9:9">
      <c r="I771" s="122"/>
    </row>
    <row r="772" spans="9:9">
      <c r="I772" s="122"/>
    </row>
    <row r="773" spans="9:9">
      <c r="I773" s="122"/>
    </row>
    <row r="774" spans="9:9">
      <c r="I774" s="122"/>
    </row>
    <row r="775" spans="9:9">
      <c r="I775" s="122"/>
    </row>
    <row r="776" spans="9:9">
      <c r="I776" s="122"/>
    </row>
    <row r="777" spans="9:9">
      <c r="I777" s="122"/>
    </row>
    <row r="778" spans="9:9">
      <c r="I778" s="122"/>
    </row>
    <row r="779" spans="9:9">
      <c r="I779" s="122"/>
    </row>
    <row r="780" spans="9:9">
      <c r="I780" s="122"/>
    </row>
    <row r="781" spans="9:9">
      <c r="I781" s="122"/>
    </row>
    <row r="782" spans="9:9">
      <c r="I782" s="122"/>
    </row>
    <row r="783" spans="9:9">
      <c r="I783" s="122"/>
    </row>
    <row r="784" spans="9:9">
      <c r="I784" s="122"/>
    </row>
    <row r="785" spans="9:9">
      <c r="I785" s="122"/>
    </row>
    <row r="786" spans="9:9">
      <c r="I786" s="122"/>
    </row>
    <row r="787" spans="9:9">
      <c r="I787" s="122"/>
    </row>
    <row r="788" spans="9:9">
      <c r="I788" s="122"/>
    </row>
    <row r="789" spans="9:9">
      <c r="I789" s="122"/>
    </row>
    <row r="790" spans="9:9">
      <c r="I790" s="122"/>
    </row>
    <row r="791" spans="9:9">
      <c r="I791" s="122"/>
    </row>
    <row r="792" spans="9:9">
      <c r="I792" s="122"/>
    </row>
    <row r="793" spans="9:9">
      <c r="I793" s="122"/>
    </row>
    <row r="794" spans="9:9">
      <c r="I794" s="122"/>
    </row>
    <row r="795" spans="9:9">
      <c r="I795" s="122"/>
    </row>
    <row r="796" spans="9:9">
      <c r="I796" s="122"/>
    </row>
    <row r="797" spans="9:9">
      <c r="I797" s="122"/>
    </row>
    <row r="798" spans="9:9">
      <c r="I798" s="122"/>
    </row>
    <row r="799" spans="9:9">
      <c r="I799" s="122"/>
    </row>
    <row r="800" spans="9:9">
      <c r="I800" s="122"/>
    </row>
    <row r="801" spans="9:9">
      <c r="I801" s="122"/>
    </row>
    <row r="802" spans="9:9">
      <c r="I802" s="122"/>
    </row>
    <row r="803" spans="9:9">
      <c r="I803" s="122"/>
    </row>
    <row r="804" spans="9:9">
      <c r="I804" s="122"/>
    </row>
    <row r="805" spans="9:9">
      <c r="I805" s="122"/>
    </row>
    <row r="806" spans="9:9">
      <c r="I806" s="122"/>
    </row>
    <row r="807" spans="9:9">
      <c r="I807" s="122"/>
    </row>
    <row r="808" spans="9:9">
      <c r="I808" s="122"/>
    </row>
    <row r="809" spans="9:9">
      <c r="I809" s="122"/>
    </row>
    <row r="810" spans="9:9">
      <c r="I810" s="122"/>
    </row>
    <row r="811" spans="9:9">
      <c r="I811" s="122"/>
    </row>
    <row r="812" spans="9:9">
      <c r="I812" s="122"/>
    </row>
    <row r="813" spans="9:9">
      <c r="I813" s="122"/>
    </row>
    <row r="814" spans="9:9">
      <c r="I814" s="122"/>
    </row>
    <row r="815" spans="9:9">
      <c r="I815" s="122"/>
    </row>
    <row r="816" spans="9:9">
      <c r="I816" s="122"/>
    </row>
    <row r="817" spans="9:9">
      <c r="I817" s="122"/>
    </row>
    <row r="818" spans="9:9">
      <c r="I818" s="122"/>
    </row>
    <row r="819" spans="9:9">
      <c r="I819" s="122"/>
    </row>
    <row r="820" spans="9:9">
      <c r="I820" s="122"/>
    </row>
    <row r="821" spans="9:9">
      <c r="I821" s="122"/>
    </row>
    <row r="822" spans="9:9">
      <c r="I822" s="122"/>
    </row>
    <row r="823" spans="9:9">
      <c r="I823" s="122"/>
    </row>
    <row r="824" spans="9:9">
      <c r="I824" s="122"/>
    </row>
    <row r="825" spans="9:9">
      <c r="I825" s="122"/>
    </row>
    <row r="826" spans="9:9">
      <c r="I826" s="122"/>
    </row>
    <row r="827" spans="9:9">
      <c r="I827" s="122"/>
    </row>
    <row r="828" spans="9:9">
      <c r="I828" s="122"/>
    </row>
    <row r="829" spans="9:9">
      <c r="I829" s="122"/>
    </row>
    <row r="830" spans="9:9">
      <c r="I830" s="122"/>
    </row>
    <row r="831" spans="9:9">
      <c r="I831" s="122"/>
    </row>
    <row r="832" spans="9:9">
      <c r="I832" s="122"/>
    </row>
    <row r="833" spans="9:9">
      <c r="I833" s="122"/>
    </row>
    <row r="834" spans="9:9">
      <c r="I834" s="122"/>
    </row>
    <row r="835" spans="9:9">
      <c r="I835" s="122"/>
    </row>
    <row r="836" spans="9:9">
      <c r="I836" s="122"/>
    </row>
    <row r="837" spans="9:9">
      <c r="I837" s="122"/>
    </row>
    <row r="838" spans="9:9">
      <c r="I838" s="122"/>
    </row>
    <row r="839" spans="9:9">
      <c r="I839" s="122"/>
    </row>
    <row r="840" spans="9:9">
      <c r="I840" s="122"/>
    </row>
    <row r="841" spans="9:9">
      <c r="I841" s="122"/>
    </row>
    <row r="842" spans="9:9">
      <c r="I842" s="122"/>
    </row>
    <row r="843" spans="9:9">
      <c r="I843" s="122"/>
    </row>
    <row r="844" spans="9:9">
      <c r="I844" s="122"/>
    </row>
    <row r="845" spans="9:9">
      <c r="I845" s="122"/>
    </row>
    <row r="846" spans="9:9">
      <c r="I846" s="122"/>
    </row>
    <row r="847" spans="9:9">
      <c r="I847" s="122"/>
    </row>
    <row r="848" spans="9:9">
      <c r="I848" s="122"/>
    </row>
    <row r="849" spans="9:9">
      <c r="I849" s="122"/>
    </row>
    <row r="850" spans="9:9">
      <c r="I850" s="122"/>
    </row>
    <row r="851" spans="9:9">
      <c r="I851" s="122"/>
    </row>
    <row r="852" spans="9:9">
      <c r="I852" s="122"/>
    </row>
    <row r="853" spans="9:9">
      <c r="I853" s="122"/>
    </row>
    <row r="854" spans="9:9">
      <c r="I854" s="122"/>
    </row>
    <row r="855" spans="9:9">
      <c r="I855" s="122"/>
    </row>
    <row r="856" spans="9:9">
      <c r="I856" s="122"/>
    </row>
    <row r="857" spans="9:9">
      <c r="I857" s="122"/>
    </row>
    <row r="858" spans="9:9">
      <c r="I858" s="122"/>
    </row>
    <row r="859" spans="9:9">
      <c r="I859" s="122"/>
    </row>
    <row r="860" spans="9:9">
      <c r="I860" s="122"/>
    </row>
    <row r="861" spans="9:9">
      <c r="I861" s="122"/>
    </row>
    <row r="862" spans="9:9">
      <c r="I862" s="122"/>
    </row>
    <row r="863" spans="9:9">
      <c r="I863" s="122"/>
    </row>
    <row r="864" spans="9:9">
      <c r="I864" s="122"/>
    </row>
    <row r="865" spans="9:9">
      <c r="I865" s="122"/>
    </row>
    <row r="866" spans="9:9">
      <c r="I866" s="122"/>
    </row>
    <row r="867" spans="9:9">
      <c r="I867" s="122"/>
    </row>
    <row r="868" spans="9:9">
      <c r="I868" s="122"/>
    </row>
    <row r="869" spans="9:9">
      <c r="I869" s="122"/>
    </row>
    <row r="870" spans="9:9">
      <c r="I870" s="122"/>
    </row>
    <row r="871" spans="9:9">
      <c r="I871" s="122"/>
    </row>
    <row r="872" spans="9:9">
      <c r="I872" s="122"/>
    </row>
    <row r="873" spans="9:9">
      <c r="I873" s="122"/>
    </row>
    <row r="874" spans="9:9">
      <c r="I874" s="122"/>
    </row>
    <row r="875" spans="9:9">
      <c r="I875" s="122"/>
    </row>
    <row r="876" spans="9:9">
      <c r="I876" s="122"/>
    </row>
    <row r="877" spans="9:9">
      <c r="I877" s="122"/>
    </row>
    <row r="878" spans="9:9">
      <c r="I878" s="122"/>
    </row>
    <row r="879" spans="9:9">
      <c r="I879" s="122"/>
    </row>
    <row r="880" spans="9:9">
      <c r="I880" s="122"/>
    </row>
    <row r="881" spans="9:9">
      <c r="I881" s="122"/>
    </row>
    <row r="882" spans="9:9">
      <c r="I882" s="122"/>
    </row>
    <row r="883" spans="9:9">
      <c r="I883" s="122"/>
    </row>
    <row r="884" spans="9:9">
      <c r="I884" s="122"/>
    </row>
    <row r="885" spans="9:9">
      <c r="I885" s="122"/>
    </row>
    <row r="886" spans="9:9">
      <c r="I886" s="122"/>
    </row>
    <row r="887" spans="9:9">
      <c r="I887" s="122"/>
    </row>
    <row r="888" spans="9:9">
      <c r="I888" s="122"/>
    </row>
    <row r="889" spans="9:9">
      <c r="I889" s="122"/>
    </row>
    <row r="890" spans="9:9">
      <c r="I890" s="122"/>
    </row>
    <row r="891" spans="9:9">
      <c r="I891" s="122"/>
    </row>
    <row r="892" spans="9:9">
      <c r="I892" s="122"/>
    </row>
    <row r="893" spans="9:9">
      <c r="I893" s="122"/>
    </row>
    <row r="894" spans="9:9">
      <c r="I894" s="122"/>
    </row>
    <row r="895" spans="9:9">
      <c r="I895" s="122"/>
    </row>
    <row r="896" spans="9:9">
      <c r="I896" s="122"/>
    </row>
    <row r="897" spans="9:9">
      <c r="I897" s="122"/>
    </row>
    <row r="898" spans="9:9">
      <c r="I898" s="122"/>
    </row>
    <row r="899" spans="9:9">
      <c r="I899" s="122"/>
    </row>
    <row r="900" spans="9:9">
      <c r="I900" s="122"/>
    </row>
    <row r="901" spans="9:9">
      <c r="I901" s="122"/>
    </row>
    <row r="902" spans="9:9">
      <c r="I902" s="122"/>
    </row>
    <row r="903" spans="9:9">
      <c r="I903" s="122"/>
    </row>
    <row r="904" spans="9:9">
      <c r="I904" s="122"/>
    </row>
    <row r="905" spans="9:9">
      <c r="I905" s="122"/>
    </row>
    <row r="906" spans="9:9">
      <c r="I906" s="122"/>
    </row>
    <row r="907" spans="9:9">
      <c r="I907" s="122"/>
    </row>
    <row r="908" spans="9:9">
      <c r="I908" s="122"/>
    </row>
    <row r="909" spans="9:9">
      <c r="I909" s="122"/>
    </row>
    <row r="910" spans="9:9">
      <c r="I910" s="122"/>
    </row>
    <row r="911" spans="9:9">
      <c r="I911" s="122"/>
    </row>
    <row r="912" spans="9:9">
      <c r="I912" s="122"/>
    </row>
    <row r="913" spans="9:9">
      <c r="I913" s="122"/>
    </row>
    <row r="914" spans="9:9">
      <c r="I914" s="122"/>
    </row>
    <row r="915" spans="9:9">
      <c r="I915" s="122"/>
    </row>
    <row r="916" spans="9:9">
      <c r="I916" s="122"/>
    </row>
    <row r="917" spans="9:9">
      <c r="I917" s="122"/>
    </row>
    <row r="918" spans="9:9">
      <c r="I918" s="122"/>
    </row>
    <row r="919" spans="9:9">
      <c r="I919" s="122"/>
    </row>
    <row r="920" spans="9:9">
      <c r="I920" s="122"/>
    </row>
    <row r="921" spans="9:9">
      <c r="I921" s="122"/>
    </row>
    <row r="922" spans="9:9">
      <c r="I922" s="122"/>
    </row>
    <row r="923" spans="9:9">
      <c r="I923" s="122"/>
    </row>
    <row r="924" spans="9:9">
      <c r="I924" s="122"/>
    </row>
    <row r="925" spans="9:9">
      <c r="I925" s="122"/>
    </row>
    <row r="926" spans="9:9">
      <c r="I926" s="122"/>
    </row>
    <row r="927" spans="9:9">
      <c r="I927" s="122"/>
    </row>
    <row r="928" spans="9:9">
      <c r="I928" s="122"/>
    </row>
    <row r="929" spans="9:9">
      <c r="I929" s="122"/>
    </row>
    <row r="930" spans="9:9">
      <c r="I930" s="122"/>
    </row>
    <row r="931" spans="9:9">
      <c r="I931" s="122"/>
    </row>
    <row r="932" spans="9:9">
      <c r="I932" s="122"/>
    </row>
    <row r="933" spans="9:9">
      <c r="I933" s="122"/>
    </row>
    <row r="934" spans="9:9">
      <c r="I934" s="122"/>
    </row>
    <row r="935" spans="9:9">
      <c r="I935" s="122"/>
    </row>
    <row r="936" spans="9:9">
      <c r="I936" s="122"/>
    </row>
    <row r="937" spans="9:9">
      <c r="I937" s="122"/>
    </row>
    <row r="938" spans="9:9">
      <c r="I938" s="122"/>
    </row>
    <row r="939" spans="9:9">
      <c r="I939" s="122"/>
    </row>
    <row r="940" spans="9:9">
      <c r="I940" s="122"/>
    </row>
    <row r="941" spans="9:9">
      <c r="I941" s="122"/>
    </row>
    <row r="942" spans="9:9">
      <c r="I942" s="122"/>
    </row>
    <row r="943" spans="9:9">
      <c r="I943" s="122"/>
    </row>
    <row r="944" spans="9:9">
      <c r="I944" s="122"/>
    </row>
    <row r="945" spans="9:9">
      <c r="I945" s="122"/>
    </row>
    <row r="946" spans="9:9">
      <c r="I946" s="122"/>
    </row>
    <row r="947" spans="9:9">
      <c r="I947" s="122"/>
    </row>
    <row r="948" spans="9:9">
      <c r="I948" s="122"/>
    </row>
    <row r="949" spans="9:9">
      <c r="I949" s="122"/>
    </row>
    <row r="950" spans="9:9">
      <c r="I950" s="122"/>
    </row>
    <row r="951" spans="9:9">
      <c r="I951" s="122"/>
    </row>
    <row r="952" spans="9:9">
      <c r="I952" s="122"/>
    </row>
    <row r="953" spans="9:9">
      <c r="I953" s="122"/>
    </row>
    <row r="954" spans="9:9">
      <c r="I954" s="122"/>
    </row>
    <row r="955" spans="9:9">
      <c r="I955" s="122"/>
    </row>
    <row r="956" spans="9:9">
      <c r="I956" s="122"/>
    </row>
    <row r="957" spans="9:9">
      <c r="I957" s="122"/>
    </row>
    <row r="958" spans="9:9">
      <c r="I958" s="122"/>
    </row>
    <row r="959" spans="9:9">
      <c r="I959" s="122"/>
    </row>
    <row r="960" spans="9:9">
      <c r="I960" s="122"/>
    </row>
    <row r="961" spans="9:9">
      <c r="I961" s="122"/>
    </row>
    <row r="962" spans="9:9">
      <c r="I962" s="122"/>
    </row>
    <row r="963" spans="9:9">
      <c r="I963" s="122"/>
    </row>
    <row r="964" spans="9:9">
      <c r="I964" s="122"/>
    </row>
    <row r="965" spans="9:9">
      <c r="I965" s="122"/>
    </row>
    <row r="966" spans="9:9">
      <c r="I966" s="122"/>
    </row>
    <row r="967" spans="9:9">
      <c r="I967" s="122"/>
    </row>
    <row r="968" spans="9:9">
      <c r="I968" s="122"/>
    </row>
    <row r="969" spans="9:9">
      <c r="I969" s="122"/>
    </row>
    <row r="970" spans="9:9">
      <c r="I970" s="122"/>
    </row>
    <row r="971" spans="9:9">
      <c r="I971" s="122"/>
    </row>
    <row r="972" spans="9:9">
      <c r="I972" s="122"/>
    </row>
    <row r="973" spans="9:9">
      <c r="I973" s="122"/>
    </row>
    <row r="974" spans="9:9">
      <c r="I974" s="122"/>
    </row>
    <row r="975" spans="9:9">
      <c r="I975" s="122"/>
    </row>
    <row r="976" spans="9:9">
      <c r="I976" s="122"/>
    </row>
    <row r="977" spans="9:9">
      <c r="I977" s="122"/>
    </row>
    <row r="978" spans="9:9">
      <c r="I978" s="122"/>
    </row>
    <row r="979" spans="9:9">
      <c r="I979" s="122"/>
    </row>
    <row r="980" spans="9:9">
      <c r="I980" s="122"/>
    </row>
    <row r="981" spans="9:9">
      <c r="I981" s="122"/>
    </row>
    <row r="982" spans="9:9">
      <c r="I982" s="122"/>
    </row>
    <row r="983" spans="9:9">
      <c r="I983" s="122"/>
    </row>
    <row r="984" spans="9:9">
      <c r="I984" s="122"/>
    </row>
    <row r="985" spans="9:9">
      <c r="I985" s="122"/>
    </row>
    <row r="986" spans="9:9">
      <c r="I986" s="122"/>
    </row>
    <row r="987" spans="9:9">
      <c r="I987" s="122"/>
    </row>
    <row r="988" spans="9:9">
      <c r="I988" s="122"/>
    </row>
    <row r="989" spans="9:9">
      <c r="I989" s="122"/>
    </row>
    <row r="990" spans="9:9">
      <c r="I990" s="122"/>
    </row>
    <row r="991" spans="9:9">
      <c r="I991" s="122"/>
    </row>
    <row r="992" spans="9:9">
      <c r="I992" s="122"/>
    </row>
    <row r="993" spans="9:9">
      <c r="I993" s="122"/>
    </row>
    <row r="994" spans="9:9">
      <c r="I994" s="122"/>
    </row>
    <row r="995" spans="9:9">
      <c r="I995" s="122"/>
    </row>
    <row r="996" spans="9:9">
      <c r="I996" s="122"/>
    </row>
    <row r="997" spans="9:9">
      <c r="I997" s="122"/>
    </row>
    <row r="998" spans="9:9">
      <c r="I998" s="122"/>
    </row>
    <row r="999" spans="9:9">
      <c r="I999" s="122"/>
    </row>
    <row r="1000" spans="9:9">
      <c r="I1000" s="122"/>
    </row>
    <row r="1001" spans="9:9">
      <c r="I1001" s="122"/>
    </row>
    <row r="1002" spans="9:9">
      <c r="I1002" s="122"/>
    </row>
    <row r="1003" spans="9:9">
      <c r="I1003" s="122"/>
    </row>
    <row r="1004" spans="9:9">
      <c r="I1004" s="122"/>
    </row>
    <row r="1005" spans="9:9">
      <c r="I1005" s="122"/>
    </row>
    <row r="1006" spans="9:9">
      <c r="I1006" s="122"/>
    </row>
    <row r="1007" spans="9:9">
      <c r="I1007" s="122"/>
    </row>
    <row r="1008" spans="9:9">
      <c r="I1008" s="122"/>
    </row>
    <row r="1009" spans="9:9">
      <c r="I1009" s="122"/>
    </row>
    <row r="1010" spans="9:9">
      <c r="I1010" s="122"/>
    </row>
    <row r="1011" spans="9:9">
      <c r="I1011" s="122"/>
    </row>
    <row r="1012" spans="9:9">
      <c r="I1012" s="122"/>
    </row>
    <row r="1013" spans="9:9">
      <c r="I1013" s="122"/>
    </row>
    <row r="1014" spans="9:9">
      <c r="I1014" s="122"/>
    </row>
    <row r="1015" spans="9:9">
      <c r="I1015" s="122"/>
    </row>
    <row r="1016" spans="9:9">
      <c r="I1016" s="122"/>
    </row>
    <row r="1017" spans="9:9">
      <c r="I1017" s="122"/>
    </row>
    <row r="1018" spans="9:9">
      <c r="I1018" s="122"/>
    </row>
    <row r="1019" spans="9:9">
      <c r="I1019" s="122"/>
    </row>
    <row r="1020" spans="9:9">
      <c r="I1020" s="122"/>
    </row>
    <row r="1021" spans="9:9">
      <c r="I1021" s="122"/>
    </row>
    <row r="1022" spans="9:9">
      <c r="I1022" s="122"/>
    </row>
    <row r="1023" spans="9:9">
      <c r="I1023" s="122"/>
    </row>
    <row r="1024" spans="9:9">
      <c r="I1024" s="122"/>
    </row>
    <row r="1025" spans="9:9">
      <c r="I1025" s="122"/>
    </row>
    <row r="1026" spans="9:9">
      <c r="I1026" s="122"/>
    </row>
    <row r="1027" spans="9:9">
      <c r="I1027" s="122"/>
    </row>
    <row r="1028" spans="9:9">
      <c r="I1028" s="122"/>
    </row>
    <row r="1029" spans="9:9">
      <c r="I1029" s="122"/>
    </row>
    <row r="1030" spans="9:9">
      <c r="I1030" s="122"/>
    </row>
    <row r="1031" spans="9:9">
      <c r="I1031" s="122"/>
    </row>
    <row r="1032" spans="9:9">
      <c r="I1032" s="122"/>
    </row>
    <row r="1033" spans="9:9">
      <c r="I1033" s="122"/>
    </row>
    <row r="1034" spans="9:9">
      <c r="I1034" s="122"/>
    </row>
    <row r="1035" spans="9:9">
      <c r="I1035" s="122"/>
    </row>
    <row r="1036" spans="9:9">
      <c r="I1036" s="122"/>
    </row>
    <row r="1037" spans="9:9">
      <c r="I1037" s="122"/>
    </row>
    <row r="1038" spans="9:9">
      <c r="I1038" s="122"/>
    </row>
    <row r="1039" spans="9:9">
      <c r="I1039" s="122"/>
    </row>
    <row r="1040" spans="9:9">
      <c r="I1040" s="122"/>
    </row>
    <row r="1041" spans="9:9">
      <c r="I1041" s="122"/>
    </row>
    <row r="1042" spans="9:9">
      <c r="I1042" s="122"/>
    </row>
    <row r="1043" spans="9:9">
      <c r="I1043" s="122"/>
    </row>
    <row r="1044" spans="9:9">
      <c r="I1044" s="122"/>
    </row>
    <row r="1045" spans="9:9">
      <c r="I1045" s="122"/>
    </row>
    <row r="1046" spans="9:9">
      <c r="I1046" s="122"/>
    </row>
    <row r="1047" spans="9:9">
      <c r="I1047" s="122"/>
    </row>
    <row r="1048" spans="9:9">
      <c r="I1048" s="122"/>
    </row>
    <row r="1049" spans="9:9">
      <c r="I1049" s="122"/>
    </row>
    <row r="1050" spans="9:9">
      <c r="I1050" s="122"/>
    </row>
    <row r="1051" spans="9:9">
      <c r="I1051" s="122"/>
    </row>
    <row r="1052" spans="9:9">
      <c r="I1052" s="122"/>
    </row>
    <row r="1053" spans="9:9">
      <c r="I1053" s="122"/>
    </row>
    <row r="1054" spans="9:9">
      <c r="I1054" s="122"/>
    </row>
    <row r="1055" spans="9:9">
      <c r="I1055" s="122"/>
    </row>
    <row r="1056" spans="9:9">
      <c r="I1056" s="122"/>
    </row>
    <row r="1057" spans="9:9">
      <c r="I1057" s="122"/>
    </row>
    <row r="1058" spans="9:9">
      <c r="I1058" s="122"/>
    </row>
    <row r="1059" spans="9:9">
      <c r="I1059" s="122"/>
    </row>
    <row r="1060" spans="9:9">
      <c r="I1060" s="122"/>
    </row>
    <row r="1061" spans="9:9">
      <c r="I1061" s="122"/>
    </row>
    <row r="1062" spans="9:9">
      <c r="I1062" s="122"/>
    </row>
    <row r="1063" spans="9:9">
      <c r="I1063" s="122"/>
    </row>
    <row r="1064" spans="9:9">
      <c r="I1064" s="122"/>
    </row>
    <row r="1065" spans="9:9">
      <c r="I1065" s="122"/>
    </row>
    <row r="1066" spans="9:9">
      <c r="I1066" s="122"/>
    </row>
    <row r="1067" spans="9:9">
      <c r="I1067" s="122"/>
    </row>
    <row r="1068" spans="9:9">
      <c r="I1068" s="122"/>
    </row>
    <row r="1069" spans="9:9">
      <c r="I1069" s="122"/>
    </row>
    <row r="1070" spans="9:9">
      <c r="I1070" s="122"/>
    </row>
    <row r="1071" spans="9:9">
      <c r="I1071" s="122"/>
    </row>
    <row r="1072" spans="9:9">
      <c r="I1072" s="122"/>
    </row>
    <row r="1073" spans="9:9">
      <c r="I1073" s="122"/>
    </row>
    <row r="1074" spans="9:9">
      <c r="I1074" s="122"/>
    </row>
    <row r="1075" spans="9:9">
      <c r="I1075" s="122"/>
    </row>
    <row r="1076" spans="9:9">
      <c r="I1076" s="122"/>
    </row>
    <row r="1077" spans="9:9">
      <c r="I1077" s="122"/>
    </row>
    <row r="1078" spans="9:9">
      <c r="I1078" s="122"/>
    </row>
    <row r="1079" spans="9:9">
      <c r="I1079" s="122"/>
    </row>
    <row r="1080" spans="9:9">
      <c r="I1080" s="122"/>
    </row>
    <row r="1081" spans="9:9">
      <c r="I1081" s="122"/>
    </row>
    <row r="1082" spans="9:9">
      <c r="I1082" s="122"/>
    </row>
    <row r="1083" spans="9:9">
      <c r="I1083" s="122"/>
    </row>
    <row r="1084" spans="9:9">
      <c r="I1084" s="122"/>
    </row>
    <row r="1085" spans="9:9">
      <c r="I1085" s="122"/>
    </row>
    <row r="1086" spans="9:9">
      <c r="I1086" s="122"/>
    </row>
    <row r="1087" spans="9:9">
      <c r="I1087" s="122"/>
    </row>
    <row r="1088" spans="9:9">
      <c r="I1088" s="122"/>
    </row>
    <row r="1089" spans="9:9">
      <c r="I1089" s="122"/>
    </row>
    <row r="1090" spans="9:9">
      <c r="I1090" s="122"/>
    </row>
    <row r="1091" spans="9:9">
      <c r="I1091" s="122"/>
    </row>
    <row r="1092" spans="9:9">
      <c r="I1092" s="122"/>
    </row>
    <row r="1093" spans="9:9">
      <c r="I1093" s="122"/>
    </row>
    <row r="1094" spans="9:9">
      <c r="I1094" s="122"/>
    </row>
    <row r="1095" spans="9:9">
      <c r="I1095" s="122"/>
    </row>
    <row r="1096" spans="9:9">
      <c r="I1096" s="122"/>
    </row>
    <row r="1097" spans="9:9">
      <c r="I1097" s="122"/>
    </row>
    <row r="1098" spans="9:9">
      <c r="I1098" s="122"/>
    </row>
    <row r="1099" spans="9:9">
      <c r="I1099" s="122"/>
    </row>
    <row r="1100" spans="9:9">
      <c r="I1100" s="122"/>
    </row>
    <row r="1101" spans="9:9">
      <c r="I1101" s="122"/>
    </row>
    <row r="1102" spans="9:9">
      <c r="I1102" s="122"/>
    </row>
    <row r="1103" spans="9:9">
      <c r="I1103" s="122"/>
    </row>
    <row r="1104" spans="9:9">
      <c r="I1104" s="122"/>
    </row>
    <row r="1105" spans="9:9">
      <c r="I1105" s="122"/>
    </row>
    <row r="1106" spans="9:9">
      <c r="I1106" s="122"/>
    </row>
    <row r="1107" spans="9:9">
      <c r="I1107" s="122"/>
    </row>
    <row r="1108" spans="9:9">
      <c r="I1108" s="122"/>
    </row>
    <row r="1109" spans="9:9">
      <c r="I1109" s="122"/>
    </row>
    <row r="1110" spans="9:9">
      <c r="I1110" s="122"/>
    </row>
    <row r="1111" spans="9:9">
      <c r="I1111" s="122"/>
    </row>
    <row r="1112" spans="9:9">
      <c r="I1112" s="122"/>
    </row>
    <row r="1113" spans="9:9">
      <c r="I1113" s="122"/>
    </row>
    <row r="1114" spans="9:9">
      <c r="I1114" s="122"/>
    </row>
    <row r="1115" spans="9:9">
      <c r="I1115" s="122"/>
    </row>
    <row r="1116" spans="9:9">
      <c r="I1116" s="122"/>
    </row>
    <row r="1117" spans="9:9">
      <c r="I1117" s="122"/>
    </row>
    <row r="1118" spans="9:9">
      <c r="I1118" s="122"/>
    </row>
    <row r="1119" spans="9:9">
      <c r="I1119" s="122"/>
    </row>
    <row r="1120" spans="9:9">
      <c r="I1120" s="122"/>
    </row>
    <row r="1121" spans="9:9">
      <c r="I1121" s="122"/>
    </row>
    <row r="1122" spans="9:9">
      <c r="I1122" s="122"/>
    </row>
    <row r="1123" spans="9:9">
      <c r="I1123" s="122"/>
    </row>
    <row r="1124" spans="9:9">
      <c r="I1124" s="122"/>
    </row>
    <row r="1125" spans="9:9">
      <c r="I1125" s="122"/>
    </row>
    <row r="1126" spans="9:9">
      <c r="I1126" s="122"/>
    </row>
    <row r="1127" spans="9:9">
      <c r="I1127" s="122"/>
    </row>
    <row r="1128" spans="9:9">
      <c r="I1128" s="122"/>
    </row>
    <row r="1129" spans="9:9">
      <c r="I1129" s="122"/>
    </row>
    <row r="1130" spans="9:9">
      <c r="I1130" s="122"/>
    </row>
    <row r="1131" spans="9:9">
      <c r="I1131" s="122"/>
    </row>
    <row r="1132" spans="9:9">
      <c r="I1132" s="122"/>
    </row>
    <row r="1133" spans="9:9">
      <c r="I1133" s="122"/>
    </row>
    <row r="1134" spans="9:9">
      <c r="I1134" s="122"/>
    </row>
    <row r="1135" spans="9:9">
      <c r="I1135" s="122"/>
    </row>
    <row r="1136" spans="9:9">
      <c r="I1136" s="122"/>
    </row>
    <row r="1137" spans="9:9">
      <c r="I1137" s="122"/>
    </row>
    <row r="1138" spans="9:9">
      <c r="I1138" s="122"/>
    </row>
    <row r="1139" spans="9:9">
      <c r="I1139" s="122"/>
    </row>
    <row r="1140" spans="9:9">
      <c r="I1140" s="122"/>
    </row>
    <row r="1141" spans="9:9">
      <c r="I1141" s="122"/>
    </row>
    <row r="1142" spans="9:9">
      <c r="I1142" s="122"/>
    </row>
    <row r="1143" spans="9:9">
      <c r="I1143" s="122"/>
    </row>
    <row r="1144" spans="9:9">
      <c r="I1144" s="122"/>
    </row>
    <row r="1145" spans="9:9">
      <c r="I1145" s="122"/>
    </row>
    <row r="1146" spans="9:9">
      <c r="I1146" s="122"/>
    </row>
    <row r="1147" spans="9:9">
      <c r="I1147" s="122"/>
    </row>
    <row r="1148" spans="9:9">
      <c r="I1148" s="122"/>
    </row>
    <row r="1149" spans="9:9">
      <c r="I1149" s="122"/>
    </row>
    <row r="1150" spans="9:9">
      <c r="I1150" s="122"/>
    </row>
    <row r="1151" spans="9:9">
      <c r="I1151" s="122"/>
    </row>
    <row r="1152" spans="9:9">
      <c r="I1152" s="122"/>
    </row>
    <row r="1153" spans="9:9">
      <c r="I1153" s="122"/>
    </row>
    <row r="1154" spans="9:9">
      <c r="I1154" s="122"/>
    </row>
    <row r="1155" spans="9:9">
      <c r="I1155" s="122"/>
    </row>
    <row r="1156" spans="9:9">
      <c r="I1156" s="122"/>
    </row>
    <row r="1157" spans="9:9">
      <c r="I1157" s="122"/>
    </row>
    <row r="1158" spans="9:9">
      <c r="I1158" s="122"/>
    </row>
    <row r="1159" spans="9:9">
      <c r="I1159" s="122"/>
    </row>
    <row r="1160" spans="9:9">
      <c r="I1160" s="122"/>
    </row>
    <row r="1161" spans="9:9">
      <c r="I1161" s="122"/>
    </row>
    <row r="1162" spans="9:9">
      <c r="I1162" s="122"/>
    </row>
    <row r="1163" spans="9:9">
      <c r="I1163" s="122"/>
    </row>
    <row r="1164" spans="9:9">
      <c r="I1164" s="122"/>
    </row>
    <row r="1165" spans="9:9">
      <c r="I1165" s="122"/>
    </row>
    <row r="1166" spans="9:9">
      <c r="I1166" s="122"/>
    </row>
    <row r="1167" spans="9:9">
      <c r="I1167" s="122"/>
    </row>
    <row r="1168" spans="9:9">
      <c r="I1168" s="122"/>
    </row>
    <row r="1169" spans="9:9">
      <c r="I1169" s="122"/>
    </row>
    <row r="1170" spans="9:9">
      <c r="I1170" s="122"/>
    </row>
    <row r="1171" spans="9:9">
      <c r="I1171" s="122"/>
    </row>
    <row r="1172" spans="9:9">
      <c r="I1172" s="122"/>
    </row>
    <row r="1173" spans="9:9">
      <c r="I1173" s="122"/>
    </row>
    <row r="1174" spans="9:9">
      <c r="I1174" s="122"/>
    </row>
    <row r="1175" spans="9:9">
      <c r="I1175" s="122"/>
    </row>
    <row r="1176" spans="9:9">
      <c r="I1176" s="122"/>
    </row>
    <row r="1177" spans="9:9">
      <c r="I1177" s="122"/>
    </row>
    <row r="1178" spans="9:9">
      <c r="I1178" s="122"/>
    </row>
    <row r="1179" spans="9:9">
      <c r="I1179" s="122"/>
    </row>
    <row r="1180" spans="9:9">
      <c r="I1180" s="122"/>
    </row>
    <row r="1181" spans="9:9">
      <c r="I1181" s="122"/>
    </row>
    <row r="1182" spans="9:9">
      <c r="I1182" s="122"/>
    </row>
    <row r="1183" spans="9:9">
      <c r="I1183" s="122"/>
    </row>
    <row r="1184" spans="9:9">
      <c r="I1184" s="122"/>
    </row>
    <row r="1185" spans="9:9">
      <c r="I1185" s="122"/>
    </row>
    <row r="1186" spans="9:9">
      <c r="I1186" s="122"/>
    </row>
    <row r="1187" spans="9:9">
      <c r="I1187" s="122"/>
    </row>
    <row r="1188" spans="9:9">
      <c r="I1188" s="122"/>
    </row>
    <row r="1189" spans="9:9">
      <c r="I1189" s="122"/>
    </row>
    <row r="1190" spans="9:9">
      <c r="I1190" s="122"/>
    </row>
    <row r="1191" spans="9:9">
      <c r="I1191" s="122"/>
    </row>
    <row r="1192" spans="9:9">
      <c r="I1192" s="122"/>
    </row>
    <row r="1193" spans="9:9">
      <c r="I1193" s="122"/>
    </row>
    <row r="1194" spans="9:9">
      <c r="I1194" s="122"/>
    </row>
    <row r="1195" spans="9:9">
      <c r="I1195" s="122"/>
    </row>
    <row r="1196" spans="9:9">
      <c r="I1196" s="122"/>
    </row>
    <row r="1197" spans="9:9">
      <c r="I1197" s="122"/>
    </row>
    <row r="1198" spans="9:9">
      <c r="I1198" s="122"/>
    </row>
    <row r="1199" spans="9:9">
      <c r="I1199" s="122"/>
    </row>
    <row r="1200" spans="9:9">
      <c r="I1200" s="122"/>
    </row>
    <row r="1201" spans="9:9">
      <c r="I1201" s="122"/>
    </row>
    <row r="1202" spans="9:9">
      <c r="I1202" s="122"/>
    </row>
    <row r="1203" spans="9:9">
      <c r="I1203" s="122"/>
    </row>
    <row r="1204" spans="9:9">
      <c r="I1204" s="122"/>
    </row>
    <row r="1205" spans="9:9">
      <c r="I1205" s="122"/>
    </row>
    <row r="1206" spans="9:9">
      <c r="I1206" s="122"/>
    </row>
    <row r="1207" spans="9:9">
      <c r="I1207" s="122"/>
    </row>
    <row r="1208" spans="9:9">
      <c r="I1208" s="122"/>
    </row>
    <row r="1209" spans="9:9">
      <c r="I1209" s="122"/>
    </row>
    <row r="1210" spans="9:9">
      <c r="I1210" s="122"/>
    </row>
    <row r="1211" spans="9:9">
      <c r="I1211" s="122"/>
    </row>
    <row r="1212" spans="9:9">
      <c r="I1212" s="122"/>
    </row>
    <row r="1213" spans="9:9">
      <c r="I1213" s="122"/>
    </row>
    <row r="1214" spans="9:9">
      <c r="I1214" s="122"/>
    </row>
    <row r="1215" spans="9:9">
      <c r="I1215" s="122"/>
    </row>
    <row r="1216" spans="9:9">
      <c r="I1216" s="122"/>
    </row>
    <row r="1217" spans="9:9">
      <c r="I1217" s="122"/>
    </row>
    <row r="1218" spans="9:9">
      <c r="I1218" s="122"/>
    </row>
    <row r="1219" spans="9:9">
      <c r="I1219" s="122"/>
    </row>
    <row r="1220" spans="9:9">
      <c r="I1220" s="122"/>
    </row>
    <row r="1221" spans="9:9">
      <c r="I1221" s="122"/>
    </row>
    <row r="1222" spans="9:9">
      <c r="I1222" s="122"/>
    </row>
    <row r="1223" spans="9:9">
      <c r="I1223" s="122"/>
    </row>
    <row r="1224" spans="9:9">
      <c r="I1224" s="122"/>
    </row>
    <row r="1225" spans="9:9">
      <c r="I1225" s="122"/>
    </row>
    <row r="1226" spans="9:9">
      <c r="I1226" s="122"/>
    </row>
    <row r="1227" spans="9:9">
      <c r="I1227" s="122"/>
    </row>
    <row r="1228" spans="9:9">
      <c r="I1228" s="122"/>
    </row>
    <row r="1229" spans="9:9">
      <c r="I1229" s="122"/>
    </row>
    <row r="1230" spans="9:9">
      <c r="I1230" s="122"/>
    </row>
    <row r="1231" spans="9:9">
      <c r="I1231" s="122"/>
    </row>
    <row r="1232" spans="9:9">
      <c r="I1232" s="122"/>
    </row>
    <row r="1233" spans="9:9">
      <c r="I1233" s="122"/>
    </row>
    <row r="1234" spans="9:9">
      <c r="I1234" s="122"/>
    </row>
    <row r="1235" spans="9:9">
      <c r="I1235" s="122"/>
    </row>
    <row r="1236" spans="9:9">
      <c r="I1236" s="122"/>
    </row>
    <row r="1237" spans="9:9">
      <c r="I1237" s="122"/>
    </row>
    <row r="1238" spans="9:9">
      <c r="I1238" s="122"/>
    </row>
    <row r="1239" spans="9:9">
      <c r="I1239" s="122"/>
    </row>
    <row r="1240" spans="9:9">
      <c r="I1240" s="122"/>
    </row>
    <row r="1241" spans="9:9">
      <c r="I1241" s="122"/>
    </row>
    <row r="1242" spans="9:9">
      <c r="I1242" s="122"/>
    </row>
    <row r="1243" spans="9:9">
      <c r="I1243" s="122"/>
    </row>
    <row r="1244" spans="9:9">
      <c r="I1244" s="122"/>
    </row>
    <row r="1245" spans="9:9">
      <c r="I1245" s="122"/>
    </row>
    <row r="1246" spans="9:9">
      <c r="I1246" s="122"/>
    </row>
    <row r="1247" spans="9:9">
      <c r="I1247" s="122"/>
    </row>
    <row r="1248" spans="9:9">
      <c r="I1248" s="122"/>
    </row>
    <row r="1249" spans="9:9">
      <c r="I1249" s="122"/>
    </row>
    <row r="1250" spans="9:9">
      <c r="I1250" s="122"/>
    </row>
    <row r="1251" spans="9:9">
      <c r="I1251" s="122"/>
    </row>
    <row r="1252" spans="9:9">
      <c r="I1252" s="122"/>
    </row>
    <row r="1253" spans="9:9">
      <c r="I1253" s="122"/>
    </row>
    <row r="1254" spans="9:9">
      <c r="I1254" s="122"/>
    </row>
    <row r="1255" spans="9:9">
      <c r="I1255" s="122"/>
    </row>
    <row r="1256" spans="9:9">
      <c r="I1256" s="122"/>
    </row>
    <row r="1257" spans="9:9">
      <c r="I1257" s="122"/>
    </row>
    <row r="1258" spans="9:9">
      <c r="I1258" s="122"/>
    </row>
    <row r="1259" spans="9:9">
      <c r="I1259" s="122"/>
    </row>
    <row r="1260" spans="9:9">
      <c r="I1260" s="122"/>
    </row>
    <row r="1261" spans="9:9">
      <c r="I1261" s="122"/>
    </row>
    <row r="1262" spans="9:9">
      <c r="I1262" s="122"/>
    </row>
    <row r="1263" spans="9:9">
      <c r="I1263" s="122"/>
    </row>
    <row r="1264" spans="9:9">
      <c r="I1264" s="122"/>
    </row>
    <row r="1265" spans="9:9">
      <c r="I1265" s="122"/>
    </row>
    <row r="1266" spans="9:9">
      <c r="I1266" s="122"/>
    </row>
    <row r="1267" spans="9:9">
      <c r="I1267" s="122"/>
    </row>
    <row r="1268" spans="9:9">
      <c r="I1268" s="122"/>
    </row>
    <row r="1269" spans="9:9">
      <c r="I1269" s="122"/>
    </row>
    <row r="1270" spans="9:9">
      <c r="I1270" s="122"/>
    </row>
    <row r="1271" spans="9:9">
      <c r="I1271" s="122"/>
    </row>
    <row r="1272" spans="9:9">
      <c r="I1272" s="122"/>
    </row>
    <row r="1273" spans="9:9">
      <c r="I1273" s="122"/>
    </row>
    <row r="1274" spans="9:9">
      <c r="I1274" s="122"/>
    </row>
    <row r="1275" spans="9:9">
      <c r="I1275" s="122"/>
    </row>
    <row r="1276" spans="9:9">
      <c r="I1276" s="122"/>
    </row>
    <row r="1277" spans="9:9">
      <c r="I1277" s="122"/>
    </row>
    <row r="1278" spans="9:9">
      <c r="I1278" s="122"/>
    </row>
    <row r="1279" spans="9:9">
      <c r="I1279" s="122"/>
    </row>
    <row r="1280" spans="9:9">
      <c r="I1280" s="122"/>
    </row>
    <row r="1281" spans="9:9">
      <c r="I1281" s="122"/>
    </row>
    <row r="1282" spans="9:9">
      <c r="I1282" s="122"/>
    </row>
    <row r="1283" spans="9:9">
      <c r="I1283" s="122"/>
    </row>
    <row r="1284" spans="9:9">
      <c r="I1284" s="122"/>
    </row>
    <row r="1285" spans="9:9">
      <c r="I1285" s="122"/>
    </row>
    <row r="1286" spans="9:9">
      <c r="I1286" s="122"/>
    </row>
    <row r="1287" spans="9:9">
      <c r="I1287" s="122"/>
    </row>
    <row r="1288" spans="9:9">
      <c r="I1288" s="122"/>
    </row>
    <row r="1289" spans="9:9">
      <c r="I1289" s="122"/>
    </row>
    <row r="1290" spans="9:9">
      <c r="I1290" s="122"/>
    </row>
    <row r="1291" spans="9:9">
      <c r="I1291" s="122"/>
    </row>
    <row r="1292" spans="9:9">
      <c r="I1292" s="122"/>
    </row>
    <row r="1293" spans="9:9">
      <c r="I1293" s="122"/>
    </row>
    <row r="1294" spans="9:9">
      <c r="I1294" s="122"/>
    </row>
    <row r="1295" spans="9:9">
      <c r="I1295" s="122"/>
    </row>
    <row r="1296" spans="9:9">
      <c r="I1296" s="122"/>
    </row>
    <row r="1297" spans="9:9">
      <c r="I1297" s="122"/>
    </row>
    <row r="1298" spans="9:9">
      <c r="I1298" s="122"/>
    </row>
    <row r="1299" spans="9:9">
      <c r="I1299" s="122"/>
    </row>
    <row r="1300" spans="9:9">
      <c r="I1300" s="122"/>
    </row>
    <row r="1301" spans="9:9">
      <c r="I1301" s="122"/>
    </row>
    <row r="1302" spans="9:9">
      <c r="I1302" s="122"/>
    </row>
    <row r="1303" spans="9:9">
      <c r="I1303" s="122"/>
    </row>
    <row r="1304" spans="9:9">
      <c r="I1304" s="122"/>
    </row>
    <row r="1305" spans="9:9">
      <c r="I1305" s="122"/>
    </row>
    <row r="1306" spans="9:9">
      <c r="I1306" s="122"/>
    </row>
    <row r="1307" spans="9:9">
      <c r="I1307" s="122"/>
    </row>
    <row r="1308" spans="9:9">
      <c r="I1308" s="122"/>
    </row>
    <row r="1309" spans="9:9">
      <c r="I1309" s="122"/>
    </row>
    <row r="1310" spans="9:9">
      <c r="I1310" s="122"/>
    </row>
    <row r="1311" spans="9:9">
      <c r="I1311" s="122"/>
    </row>
    <row r="1312" spans="9:9">
      <c r="I1312" s="122"/>
    </row>
    <row r="1313" spans="9:9">
      <c r="I1313" s="122"/>
    </row>
    <row r="1314" spans="9:9">
      <c r="I1314" s="122"/>
    </row>
    <row r="1315" spans="9:9">
      <c r="I1315" s="122"/>
    </row>
    <row r="1316" spans="9:9">
      <c r="I1316" s="122"/>
    </row>
    <row r="1317" spans="9:9">
      <c r="I1317" s="122"/>
    </row>
    <row r="1318" spans="9:9">
      <c r="I1318" s="122"/>
    </row>
    <row r="1319" spans="9:9">
      <c r="I1319" s="122"/>
    </row>
    <row r="1320" spans="9:9">
      <c r="I1320" s="122"/>
    </row>
    <row r="1321" spans="9:9">
      <c r="I1321" s="122"/>
    </row>
    <row r="1322" spans="9:9">
      <c r="I1322" s="122"/>
    </row>
    <row r="1323" spans="9:9">
      <c r="I1323" s="122"/>
    </row>
    <row r="1324" spans="9:9">
      <c r="I1324" s="122"/>
    </row>
    <row r="1325" spans="9:9">
      <c r="I1325" s="122"/>
    </row>
    <row r="1326" spans="9:9">
      <c r="I1326" s="122"/>
    </row>
    <row r="1327" spans="9:9">
      <c r="I1327" s="122"/>
    </row>
    <row r="1328" spans="9:9">
      <c r="I1328" s="122"/>
    </row>
    <row r="1329" spans="9:9">
      <c r="I1329" s="122"/>
    </row>
    <row r="1330" spans="9:9">
      <c r="I1330" s="122"/>
    </row>
    <row r="1331" spans="9:9">
      <c r="I1331" s="122"/>
    </row>
    <row r="1332" spans="9:9">
      <c r="I1332" s="122"/>
    </row>
    <row r="1333" spans="9:9">
      <c r="I1333" s="122"/>
    </row>
    <row r="1334" spans="9:9">
      <c r="I1334" s="122"/>
    </row>
    <row r="1335" spans="9:9">
      <c r="I1335" s="122"/>
    </row>
    <row r="1336" spans="9:9">
      <c r="I1336" s="122"/>
    </row>
    <row r="1337" spans="9:9">
      <c r="I1337" s="122"/>
    </row>
    <row r="1338" spans="9:9">
      <c r="I1338" s="122"/>
    </row>
    <row r="1339" spans="9:9">
      <c r="I1339" s="122"/>
    </row>
    <row r="1340" spans="9:9">
      <c r="I1340" s="122"/>
    </row>
    <row r="1341" spans="9:9">
      <c r="I1341" s="122"/>
    </row>
    <row r="1342" spans="9:9">
      <c r="I1342" s="122"/>
    </row>
    <row r="1343" spans="9:9">
      <c r="I1343" s="122"/>
    </row>
    <row r="1344" spans="9:9">
      <c r="I1344" s="122"/>
    </row>
    <row r="1345" spans="9:9">
      <c r="I1345" s="122"/>
    </row>
    <row r="1346" spans="9:9">
      <c r="I1346" s="122"/>
    </row>
    <row r="1347" spans="9:9">
      <c r="I1347" s="122"/>
    </row>
    <row r="1348" spans="9:9">
      <c r="I1348" s="122"/>
    </row>
    <row r="1349" spans="9:9">
      <c r="I1349" s="122"/>
    </row>
    <row r="1350" spans="9:9">
      <c r="I1350" s="122"/>
    </row>
    <row r="1351" spans="9:9">
      <c r="I1351" s="122"/>
    </row>
    <row r="1352" spans="9:9">
      <c r="I1352" s="122"/>
    </row>
    <row r="1353" spans="9:9">
      <c r="I1353" s="122"/>
    </row>
    <row r="1354" spans="9:9">
      <c r="I1354" s="122"/>
    </row>
    <row r="1355" spans="9:9">
      <c r="I1355" s="122"/>
    </row>
    <row r="1356" spans="9:9">
      <c r="I1356" s="122"/>
    </row>
    <row r="1357" spans="9:9">
      <c r="I1357" s="122"/>
    </row>
    <row r="1358" spans="9:9">
      <c r="I1358" s="122"/>
    </row>
    <row r="1359" spans="9:9">
      <c r="I1359" s="122"/>
    </row>
    <row r="1360" spans="9:9">
      <c r="I1360" s="122"/>
    </row>
    <row r="1361" spans="9:9">
      <c r="I1361" s="122"/>
    </row>
    <row r="1362" spans="9:9">
      <c r="I1362" s="122"/>
    </row>
    <row r="1363" spans="9:9">
      <c r="I1363" s="122"/>
    </row>
    <row r="1364" spans="9:9">
      <c r="I1364" s="122"/>
    </row>
    <row r="1365" spans="9:9">
      <c r="I1365" s="122"/>
    </row>
    <row r="1366" spans="9:9">
      <c r="I1366" s="122"/>
    </row>
    <row r="1367" spans="9:9">
      <c r="I1367" s="122"/>
    </row>
    <row r="1368" spans="9:9">
      <c r="I1368" s="122"/>
    </row>
    <row r="1369" spans="9:9">
      <c r="I1369" s="122"/>
    </row>
    <row r="1370" spans="9:9">
      <c r="I1370" s="122"/>
    </row>
    <row r="1371" spans="9:9">
      <c r="I1371" s="122"/>
    </row>
    <row r="1372" spans="9:9">
      <c r="I1372" s="122"/>
    </row>
    <row r="1373" spans="9:9">
      <c r="I1373" s="122"/>
    </row>
    <row r="1374" spans="9:9">
      <c r="I1374" s="122"/>
    </row>
    <row r="1375" spans="9:9">
      <c r="I1375" s="122"/>
    </row>
    <row r="1376" spans="9:9">
      <c r="I1376" s="122"/>
    </row>
    <row r="1377" spans="9:9">
      <c r="I1377" s="122"/>
    </row>
    <row r="1378" spans="9:9">
      <c r="I1378" s="122"/>
    </row>
    <row r="1379" spans="9:9">
      <c r="I1379" s="122"/>
    </row>
    <row r="1380" spans="9:9">
      <c r="I1380" s="122"/>
    </row>
    <row r="1381" spans="9:9">
      <c r="I1381" s="122"/>
    </row>
    <row r="1382" spans="9:9">
      <c r="I1382" s="122"/>
    </row>
    <row r="1383" spans="9:9">
      <c r="I1383" s="122"/>
    </row>
    <row r="1384" spans="9:9">
      <c r="I1384" s="122"/>
    </row>
    <row r="1385" spans="9:9">
      <c r="I1385" s="122"/>
    </row>
    <row r="1386" spans="9:9">
      <c r="I1386" s="122"/>
    </row>
    <row r="1387" spans="9:9">
      <c r="I1387" s="122"/>
    </row>
    <row r="1388" spans="9:9">
      <c r="I1388" s="122"/>
    </row>
    <row r="1389" spans="9:9">
      <c r="I1389" s="122"/>
    </row>
    <row r="1390" spans="9:9">
      <c r="I1390" s="122"/>
    </row>
    <row r="1391" spans="9:9">
      <c r="I1391" s="122"/>
    </row>
    <row r="1392" spans="9:9">
      <c r="I1392" s="122"/>
    </row>
    <row r="1393" spans="9:9">
      <c r="I1393" s="122"/>
    </row>
    <row r="1394" spans="9:9">
      <c r="I1394" s="122"/>
    </row>
    <row r="1395" spans="9:9">
      <c r="I1395" s="122"/>
    </row>
    <row r="1396" spans="9:9">
      <c r="I1396" s="122"/>
    </row>
    <row r="1397" spans="9:9">
      <c r="I1397" s="122"/>
    </row>
    <row r="1398" spans="9:9">
      <c r="I1398" s="122"/>
    </row>
    <row r="1399" spans="9:9">
      <c r="I1399" s="122"/>
    </row>
    <row r="1400" spans="9:9">
      <c r="I1400" s="122"/>
    </row>
    <row r="1401" spans="9:9">
      <c r="I1401" s="122"/>
    </row>
    <row r="1402" spans="9:9">
      <c r="I1402" s="122"/>
    </row>
    <row r="1403" spans="9:9">
      <c r="I1403" s="122"/>
    </row>
    <row r="1404" spans="9:9">
      <c r="I1404" s="122"/>
    </row>
    <row r="1405" spans="9:9">
      <c r="I1405" s="122"/>
    </row>
    <row r="1406" spans="9:9">
      <c r="I1406" s="122"/>
    </row>
    <row r="1407" spans="9:9">
      <c r="I1407" s="122"/>
    </row>
    <row r="1408" spans="9:9">
      <c r="I1408" s="122"/>
    </row>
    <row r="1409" spans="9:9">
      <c r="I1409" s="122"/>
    </row>
    <row r="1410" spans="9:9">
      <c r="I1410" s="122"/>
    </row>
    <row r="1411" spans="9:9">
      <c r="I1411" s="122"/>
    </row>
    <row r="1412" spans="9:9">
      <c r="I1412" s="122"/>
    </row>
    <row r="1413" spans="9:9">
      <c r="I1413" s="122"/>
    </row>
    <row r="1414" spans="9:9">
      <c r="I1414" s="122"/>
    </row>
    <row r="1415" spans="9:9">
      <c r="I1415" s="122"/>
    </row>
    <row r="1416" spans="9:9">
      <c r="I1416" s="122"/>
    </row>
    <row r="1417" spans="9:9">
      <c r="I1417" s="122"/>
    </row>
    <row r="1418" spans="9:9">
      <c r="I1418" s="122"/>
    </row>
    <row r="1419" spans="9:9">
      <c r="I1419" s="122"/>
    </row>
    <row r="1420" spans="9:9">
      <c r="I1420" s="122"/>
    </row>
    <row r="1421" spans="9:9">
      <c r="I1421" s="122"/>
    </row>
    <row r="1422" spans="9:9">
      <c r="I1422" s="122"/>
    </row>
    <row r="1423" spans="9:9">
      <c r="I1423" s="122"/>
    </row>
    <row r="1424" spans="9:9">
      <c r="I1424" s="122"/>
    </row>
    <row r="1425" spans="9:9">
      <c r="I1425" s="122"/>
    </row>
    <row r="1426" spans="9:9">
      <c r="I1426" s="122"/>
    </row>
    <row r="1427" spans="9:9">
      <c r="I1427" s="122"/>
    </row>
    <row r="1428" spans="9:9">
      <c r="I1428" s="122"/>
    </row>
    <row r="1429" spans="9:9">
      <c r="I1429" s="122"/>
    </row>
    <row r="1430" spans="9:9">
      <c r="I1430" s="122"/>
    </row>
    <row r="1431" spans="9:9">
      <c r="I1431" s="122"/>
    </row>
    <row r="1432" spans="9:9">
      <c r="I1432" s="122"/>
    </row>
    <row r="1433" spans="9:9">
      <c r="I1433" s="122"/>
    </row>
    <row r="1434" spans="9:9">
      <c r="I1434" s="122"/>
    </row>
    <row r="1435" spans="9:9">
      <c r="I1435" s="122"/>
    </row>
    <row r="1436" spans="9:9">
      <c r="I1436" s="122"/>
    </row>
    <row r="1437" spans="9:9">
      <c r="I1437" s="122"/>
    </row>
    <row r="1438" spans="9:9">
      <c r="I1438" s="122"/>
    </row>
    <row r="1439" spans="9:9">
      <c r="I1439" s="122"/>
    </row>
    <row r="1440" spans="9:9">
      <c r="I1440" s="122"/>
    </row>
    <row r="1441" spans="9:9">
      <c r="I1441" s="122"/>
    </row>
    <row r="1442" spans="9:9">
      <c r="I1442" s="122"/>
    </row>
    <row r="1443" spans="9:9">
      <c r="I1443" s="122"/>
    </row>
    <row r="1444" spans="9:9">
      <c r="I1444" s="122"/>
    </row>
    <row r="1445" spans="9:9">
      <c r="I1445" s="122"/>
    </row>
    <row r="1446" spans="9:9">
      <c r="I1446" s="122"/>
    </row>
    <row r="1447" spans="9:9">
      <c r="I1447" s="122"/>
    </row>
    <row r="1448" spans="9:9">
      <c r="I1448" s="122"/>
    </row>
    <row r="1449" spans="9:9">
      <c r="I1449" s="122"/>
    </row>
    <row r="1450" spans="9:9">
      <c r="I1450" s="122"/>
    </row>
    <row r="1451" spans="9:9">
      <c r="I1451" s="122"/>
    </row>
    <row r="1452" spans="9:9">
      <c r="I1452" s="122"/>
    </row>
    <row r="1453" spans="9:9">
      <c r="I1453" s="122"/>
    </row>
    <row r="1454" spans="9:9">
      <c r="I1454" s="122"/>
    </row>
    <row r="1455" spans="9:9">
      <c r="I1455" s="122"/>
    </row>
    <row r="1456" spans="9:9">
      <c r="I1456" s="122"/>
    </row>
    <row r="1457" spans="9:9">
      <c r="I1457" s="122"/>
    </row>
    <row r="1458" spans="9:9">
      <c r="I1458" s="122"/>
    </row>
    <row r="1459" spans="9:9">
      <c r="I1459" s="122"/>
    </row>
    <row r="1460" spans="9:9">
      <c r="I1460" s="122"/>
    </row>
    <row r="1461" spans="9:9">
      <c r="I1461" s="122"/>
    </row>
    <row r="1462" spans="9:9">
      <c r="I1462" s="122"/>
    </row>
    <row r="1463" spans="9:9">
      <c r="I1463" s="122"/>
    </row>
    <row r="1464" spans="9:9">
      <c r="I1464" s="122"/>
    </row>
    <row r="1465" spans="9:9">
      <c r="I1465" s="122"/>
    </row>
    <row r="1466" spans="9:9">
      <c r="I1466" s="122"/>
    </row>
    <row r="1467" spans="9:9">
      <c r="I1467" s="122"/>
    </row>
    <row r="1468" spans="9:9">
      <c r="I1468" s="122"/>
    </row>
    <row r="1469" spans="9:9">
      <c r="I1469" s="122"/>
    </row>
    <row r="1470" spans="9:9">
      <c r="I1470" s="122"/>
    </row>
    <row r="1471" spans="9:9">
      <c r="I1471" s="122"/>
    </row>
    <row r="1472" spans="9:9">
      <c r="I1472" s="122"/>
    </row>
    <row r="1473" spans="9:9">
      <c r="I1473" s="122"/>
    </row>
    <row r="1474" spans="9:9">
      <c r="I1474" s="122"/>
    </row>
    <row r="1475" spans="9:9">
      <c r="I1475" s="122"/>
    </row>
    <row r="1476" spans="9:9">
      <c r="I1476" s="122"/>
    </row>
    <row r="1477" spans="9:9">
      <c r="I1477" s="122"/>
    </row>
    <row r="1478" spans="9:9">
      <c r="I1478" s="122"/>
    </row>
    <row r="1479" spans="9:9">
      <c r="I1479" s="122"/>
    </row>
    <row r="1480" spans="9:9">
      <c r="I1480" s="122"/>
    </row>
    <row r="1481" spans="9:9">
      <c r="I1481" s="122"/>
    </row>
    <row r="1482" spans="9:9">
      <c r="I1482" s="122"/>
    </row>
    <row r="1483" spans="9:9">
      <c r="I1483" s="122"/>
    </row>
    <row r="1484" spans="9:9">
      <c r="I1484" s="122"/>
    </row>
    <row r="1485" spans="9:9">
      <c r="I1485" s="122"/>
    </row>
    <row r="1486" spans="9:9">
      <c r="I1486" s="122"/>
    </row>
    <row r="1487" spans="9:9">
      <c r="I1487" s="122"/>
    </row>
    <row r="1488" spans="9:9">
      <c r="I1488" s="122"/>
    </row>
    <row r="1489" spans="9:9">
      <c r="I1489" s="122"/>
    </row>
    <row r="1490" spans="9:9">
      <c r="I1490" s="122"/>
    </row>
    <row r="1491" spans="9:9">
      <c r="I1491" s="122"/>
    </row>
    <row r="1492" spans="9:9">
      <c r="I1492" s="122"/>
    </row>
    <row r="1493" spans="9:9">
      <c r="I1493" s="122"/>
    </row>
    <row r="1494" spans="9:9">
      <c r="I1494" s="122"/>
    </row>
    <row r="1495" spans="9:9">
      <c r="I1495" s="122"/>
    </row>
    <row r="1496" spans="9:9">
      <c r="I1496" s="122"/>
    </row>
    <row r="1497" spans="9:9">
      <c r="I1497" s="122"/>
    </row>
    <row r="1498" spans="9:9">
      <c r="I1498" s="122"/>
    </row>
    <row r="1499" spans="9:9">
      <c r="I1499" s="122"/>
    </row>
    <row r="1500" spans="9:9">
      <c r="I1500" s="122"/>
    </row>
    <row r="1501" spans="9:9">
      <c r="I1501" s="122"/>
    </row>
    <row r="1502" spans="9:9">
      <c r="I1502" s="122"/>
    </row>
    <row r="1503" spans="9:9">
      <c r="I1503" s="122"/>
    </row>
    <row r="1504" spans="9:9">
      <c r="I1504" s="122"/>
    </row>
    <row r="1505" spans="9:9">
      <c r="I1505" s="122"/>
    </row>
    <row r="1506" spans="9:9">
      <c r="I1506" s="122"/>
    </row>
    <row r="1507" spans="9:9">
      <c r="I1507" s="122"/>
    </row>
    <row r="1508" spans="9:9">
      <c r="I1508" s="122"/>
    </row>
    <row r="1509" spans="9:9">
      <c r="I1509" s="122"/>
    </row>
    <row r="1510" spans="9:9">
      <c r="I1510" s="122"/>
    </row>
    <row r="1511" spans="9:9">
      <c r="I1511" s="122"/>
    </row>
    <row r="1512" spans="9:9">
      <c r="I1512" s="122"/>
    </row>
    <row r="1513" spans="9:9">
      <c r="I1513" s="122"/>
    </row>
    <row r="1514" spans="9:9">
      <c r="I1514" s="122"/>
    </row>
    <row r="1515" spans="9:9">
      <c r="I1515" s="122"/>
    </row>
    <row r="1516" spans="9:9">
      <c r="I1516" s="122"/>
    </row>
    <row r="1517" spans="9:9">
      <c r="I1517" s="122"/>
    </row>
    <row r="1518" spans="9:9">
      <c r="I1518" s="122"/>
    </row>
    <row r="1519" spans="9:9">
      <c r="I1519" s="122"/>
    </row>
    <row r="1520" spans="9:9">
      <c r="I1520" s="122"/>
    </row>
    <row r="1521" spans="9:9">
      <c r="I1521" s="122"/>
    </row>
    <row r="1522" spans="9:9">
      <c r="I1522" s="122"/>
    </row>
    <row r="1523" spans="9:9">
      <c r="I1523" s="122"/>
    </row>
    <row r="1524" spans="9:9">
      <c r="I1524" s="122"/>
    </row>
    <row r="1525" spans="9:9">
      <c r="I1525" s="122"/>
    </row>
    <row r="1526" spans="9:9">
      <c r="I1526" s="122"/>
    </row>
    <row r="1527" spans="9:9">
      <c r="I1527" s="122"/>
    </row>
    <row r="1528" spans="9:9">
      <c r="I1528" s="122"/>
    </row>
    <row r="1529" spans="9:9">
      <c r="I1529" s="122"/>
    </row>
    <row r="1530" spans="9:9">
      <c r="I1530" s="122"/>
    </row>
    <row r="1531" spans="9:9">
      <c r="I1531" s="122"/>
    </row>
    <row r="1532" spans="9:9">
      <c r="I1532" s="122"/>
    </row>
    <row r="1533" spans="9:9">
      <c r="I1533" s="122"/>
    </row>
    <row r="1534" spans="9:9">
      <c r="I1534" s="122"/>
    </row>
    <row r="1535" spans="9:9">
      <c r="I1535" s="122"/>
    </row>
    <row r="1536" spans="9:9">
      <c r="I1536" s="122"/>
    </row>
    <row r="1537" spans="9:9">
      <c r="I1537" s="122"/>
    </row>
    <row r="1538" spans="9:9">
      <c r="I1538" s="122"/>
    </row>
    <row r="1539" spans="9:9">
      <c r="I1539" s="122"/>
    </row>
    <row r="1540" spans="9:9">
      <c r="I1540" s="122"/>
    </row>
    <row r="1541" spans="9:9">
      <c r="I1541" s="122"/>
    </row>
    <row r="1542" spans="9:9">
      <c r="I1542" s="122"/>
    </row>
    <row r="1543" spans="9:9">
      <c r="I1543" s="122"/>
    </row>
    <row r="1544" spans="9:9">
      <c r="I1544" s="122"/>
    </row>
    <row r="1545" spans="9:9">
      <c r="I1545" s="122"/>
    </row>
    <row r="1546" spans="9:9">
      <c r="I1546" s="122"/>
    </row>
    <row r="1547" spans="9:9">
      <c r="I1547" s="122"/>
    </row>
    <row r="1548" spans="9:9">
      <c r="I1548" s="122"/>
    </row>
    <row r="1549" spans="9:9">
      <c r="I1549" s="122"/>
    </row>
    <row r="1550" spans="9:9">
      <c r="I1550" s="122"/>
    </row>
    <row r="1551" spans="9:9">
      <c r="I1551" s="122"/>
    </row>
    <row r="1552" spans="9:9">
      <c r="I1552" s="122"/>
    </row>
    <row r="1553" spans="9:9">
      <c r="I1553" s="122"/>
    </row>
    <row r="1554" spans="9:9">
      <c r="I1554" s="122"/>
    </row>
    <row r="1555" spans="9:9">
      <c r="I1555" s="122"/>
    </row>
    <row r="1556" spans="9:9">
      <c r="I1556" s="122"/>
    </row>
    <row r="1557" spans="9:9">
      <c r="I1557" s="122"/>
    </row>
    <row r="1558" spans="9:9">
      <c r="I1558" s="122"/>
    </row>
    <row r="1559" spans="9:9">
      <c r="I1559" s="122"/>
    </row>
    <row r="1560" spans="9:9">
      <c r="I1560" s="122"/>
    </row>
    <row r="1561" spans="9:9">
      <c r="I1561" s="122"/>
    </row>
    <row r="1562" spans="9:9">
      <c r="I1562" s="122"/>
    </row>
    <row r="1563" spans="9:9">
      <c r="I1563" s="122"/>
    </row>
    <row r="1564" spans="9:9">
      <c r="I1564" s="122"/>
    </row>
    <row r="1565" spans="9:9">
      <c r="I1565" s="122"/>
    </row>
    <row r="1566" spans="9:9">
      <c r="I1566" s="122"/>
    </row>
    <row r="1567" spans="9:9">
      <c r="I1567" s="122"/>
    </row>
    <row r="1568" spans="9:9">
      <c r="I1568" s="122"/>
    </row>
    <row r="1569" spans="9:9">
      <c r="I1569" s="122"/>
    </row>
    <row r="1570" spans="9:9">
      <c r="I1570" s="122"/>
    </row>
    <row r="1571" spans="9:9">
      <c r="I1571" s="122"/>
    </row>
    <row r="1572" spans="9:9">
      <c r="I1572" s="122"/>
    </row>
    <row r="1573" spans="9:9">
      <c r="I1573" s="122"/>
    </row>
    <row r="1574" spans="9:9">
      <c r="I1574" s="122"/>
    </row>
    <row r="1575" spans="9:9">
      <c r="I1575" s="122"/>
    </row>
    <row r="1576" spans="9:9">
      <c r="I1576" s="122"/>
    </row>
    <row r="1577" spans="9:9">
      <c r="I1577" s="122"/>
    </row>
    <row r="1578" spans="9:9">
      <c r="I1578" s="122"/>
    </row>
    <row r="1579" spans="9:9">
      <c r="I1579" s="122"/>
    </row>
    <row r="1580" spans="9:9">
      <c r="I1580" s="122"/>
    </row>
    <row r="1581" spans="9:9">
      <c r="I1581" s="122"/>
    </row>
    <row r="1582" spans="9:9">
      <c r="I1582" s="122"/>
    </row>
    <row r="1583" spans="9:9">
      <c r="I1583" s="122"/>
    </row>
    <row r="1584" spans="9:9">
      <c r="I1584" s="122"/>
    </row>
    <row r="1585" spans="9:9">
      <c r="I1585" s="122"/>
    </row>
    <row r="1586" spans="9:9">
      <c r="I1586" s="122"/>
    </row>
    <row r="1587" spans="9:9">
      <c r="I1587" s="122"/>
    </row>
    <row r="1588" spans="9:9">
      <c r="I1588" s="122"/>
    </row>
    <row r="1589" spans="9:9">
      <c r="I1589" s="122"/>
    </row>
    <row r="1590" spans="9:9">
      <c r="I1590" s="122"/>
    </row>
    <row r="1591" spans="9:9">
      <c r="I1591" s="122"/>
    </row>
    <row r="1592" spans="9:9">
      <c r="I1592" s="122"/>
    </row>
    <row r="1593" spans="9:9">
      <c r="I1593" s="122"/>
    </row>
    <row r="1594" spans="9:9">
      <c r="I1594" s="122"/>
    </row>
    <row r="1595" spans="9:9">
      <c r="I1595" s="122"/>
    </row>
    <row r="1596" spans="9:9">
      <c r="I1596" s="122"/>
    </row>
    <row r="1597" spans="9:9">
      <c r="I1597" s="122"/>
    </row>
    <row r="1598" spans="9:9">
      <c r="I1598" s="122"/>
    </row>
    <row r="1599" spans="9:9">
      <c r="I1599" s="122"/>
    </row>
    <row r="1600" spans="9:9">
      <c r="I1600" s="122"/>
    </row>
    <row r="1601" spans="9:9">
      <c r="I1601" s="122"/>
    </row>
    <row r="1602" spans="9:9">
      <c r="I1602" s="122"/>
    </row>
    <row r="1603" spans="9:9">
      <c r="I1603" s="122"/>
    </row>
    <row r="1604" spans="9:9">
      <c r="I1604" s="122"/>
    </row>
    <row r="1605" spans="9:9">
      <c r="I1605" s="122"/>
    </row>
    <row r="1606" spans="9:9">
      <c r="I1606" s="122"/>
    </row>
    <row r="1607" spans="9:9">
      <c r="I1607" s="122"/>
    </row>
    <row r="1608" spans="9:9">
      <c r="I1608" s="122"/>
    </row>
    <row r="1609" spans="9:9">
      <c r="I1609" s="122"/>
    </row>
    <row r="1610" spans="9:9">
      <c r="I1610" s="122"/>
    </row>
    <row r="1611" spans="9:9">
      <c r="I1611" s="122"/>
    </row>
    <row r="1612" spans="9:9">
      <c r="I1612" s="122"/>
    </row>
    <row r="1613" spans="9:9">
      <c r="I1613" s="122"/>
    </row>
    <row r="1614" spans="9:9">
      <c r="I1614" s="122"/>
    </row>
    <row r="1615" spans="9:9">
      <c r="I1615" s="122"/>
    </row>
    <row r="1616" spans="9:9">
      <c r="I1616" s="122"/>
    </row>
    <row r="1617" spans="9:9">
      <c r="I1617" s="122"/>
    </row>
    <row r="1618" spans="9:9">
      <c r="I1618" s="122"/>
    </row>
    <row r="1619" spans="9:9">
      <c r="I1619" s="122"/>
    </row>
    <row r="1620" spans="9:9">
      <c r="I1620" s="122"/>
    </row>
    <row r="1621" spans="9:9">
      <c r="I1621" s="122"/>
    </row>
    <row r="1622" spans="9:9">
      <c r="I1622" s="122"/>
    </row>
    <row r="1623" spans="9:9">
      <c r="I1623" s="122"/>
    </row>
    <row r="1624" spans="9:9">
      <c r="I1624" s="122"/>
    </row>
    <row r="1625" spans="9:9">
      <c r="I1625" s="122"/>
    </row>
    <row r="1626" spans="9:9">
      <c r="I1626" s="122"/>
    </row>
    <row r="1627" spans="9:9">
      <c r="I1627" s="122"/>
    </row>
    <row r="1628" spans="9:9">
      <c r="I1628" s="122"/>
    </row>
    <row r="1629" spans="9:9">
      <c r="I1629" s="122"/>
    </row>
    <row r="1630" spans="9:9">
      <c r="I1630" s="122"/>
    </row>
    <row r="1631" spans="9:9">
      <c r="I1631" s="122"/>
    </row>
    <row r="1632" spans="9:9">
      <c r="I1632" s="122"/>
    </row>
    <row r="1633" spans="9:9">
      <c r="I1633" s="122"/>
    </row>
    <row r="1634" spans="9:9">
      <c r="I1634" s="122"/>
    </row>
    <row r="1635" spans="9:9">
      <c r="I1635" s="122"/>
    </row>
    <row r="1636" spans="9:9">
      <c r="I1636" s="122"/>
    </row>
    <row r="1637" spans="9:9">
      <c r="I1637" s="122"/>
    </row>
    <row r="1638" spans="9:9">
      <c r="I1638" s="122"/>
    </row>
    <row r="1639" spans="9:9">
      <c r="I1639" s="122"/>
    </row>
    <row r="1640" spans="9:9">
      <c r="I1640" s="122"/>
    </row>
    <row r="1641" spans="9:9">
      <c r="I1641" s="122"/>
    </row>
    <row r="1642" spans="9:9">
      <c r="I1642" s="122"/>
    </row>
    <row r="1643" spans="9:9">
      <c r="I1643" s="122"/>
    </row>
    <row r="1644" spans="9:9">
      <c r="I1644" s="122"/>
    </row>
    <row r="1645" spans="9:9">
      <c r="I1645" s="122"/>
    </row>
    <row r="1646" spans="9:9">
      <c r="I1646" s="122"/>
    </row>
    <row r="1647" spans="9:9">
      <c r="I1647" s="122"/>
    </row>
    <row r="1648" spans="9:9">
      <c r="I1648" s="122"/>
    </row>
    <row r="1649" spans="9:9">
      <c r="I1649" s="122"/>
    </row>
    <row r="1650" spans="9:9">
      <c r="I1650" s="122"/>
    </row>
    <row r="1651" spans="9:9">
      <c r="I1651" s="122"/>
    </row>
    <row r="1652" spans="9:9">
      <c r="I1652" s="122"/>
    </row>
    <row r="1653" spans="9:9">
      <c r="I1653" s="122"/>
    </row>
    <row r="1654" spans="9:9">
      <c r="I1654" s="122"/>
    </row>
    <row r="1655" spans="9:9">
      <c r="I1655" s="122"/>
    </row>
    <row r="1656" spans="9:9">
      <c r="I1656" s="122"/>
    </row>
  </sheetData>
  <mergeCells count="194">
    <mergeCell ref="I25:J25"/>
    <mergeCell ref="K25:M25"/>
    <mergeCell ref="I26:J26"/>
    <mergeCell ref="K26:M26"/>
    <mergeCell ref="I27:J27"/>
    <mergeCell ref="K27:M27"/>
    <mergeCell ref="I2:J2"/>
    <mergeCell ref="K2:M2"/>
    <mergeCell ref="I20:J20"/>
    <mergeCell ref="K20:M20"/>
    <mergeCell ref="I24:J24"/>
    <mergeCell ref="K24:M24"/>
    <mergeCell ref="I37:J37"/>
    <mergeCell ref="K37:M37"/>
    <mergeCell ref="I38:J38"/>
    <mergeCell ref="K38:M38"/>
    <mergeCell ref="I39:J39"/>
    <mergeCell ref="K39:M39"/>
    <mergeCell ref="I31:J31"/>
    <mergeCell ref="K31:M31"/>
    <mergeCell ref="I32:J32"/>
    <mergeCell ref="K32:M32"/>
    <mergeCell ref="I33:J33"/>
    <mergeCell ref="K33:M33"/>
    <mergeCell ref="I46:J46"/>
    <mergeCell ref="K46:M46"/>
    <mergeCell ref="I47:J47"/>
    <mergeCell ref="K47:M47"/>
    <mergeCell ref="I48:J48"/>
    <mergeCell ref="K48:M48"/>
    <mergeCell ref="I40:J40"/>
    <mergeCell ref="K40:M40"/>
    <mergeCell ref="I44:J44"/>
    <mergeCell ref="K44:M44"/>
    <mergeCell ref="I45:J45"/>
    <mergeCell ref="K45:M45"/>
    <mergeCell ref="I55:J55"/>
    <mergeCell ref="K55:M55"/>
    <mergeCell ref="I56:J56"/>
    <mergeCell ref="K56:M56"/>
    <mergeCell ref="I57:J57"/>
    <mergeCell ref="K57:M57"/>
    <mergeCell ref="I52:J52"/>
    <mergeCell ref="K52:M52"/>
    <mergeCell ref="I53:J53"/>
    <mergeCell ref="K53:M53"/>
    <mergeCell ref="I54:J54"/>
    <mergeCell ref="K54:M54"/>
    <mergeCell ref="I64:J64"/>
    <mergeCell ref="K64:M64"/>
    <mergeCell ref="I68:J68"/>
    <mergeCell ref="K68:M68"/>
    <mergeCell ref="I69:J69"/>
    <mergeCell ref="K69:M69"/>
    <mergeCell ref="I61:J61"/>
    <mergeCell ref="K61:M61"/>
    <mergeCell ref="I62:J62"/>
    <mergeCell ref="K62:M62"/>
    <mergeCell ref="I63:J63"/>
    <mergeCell ref="K63:M63"/>
    <mergeCell ref="I79:J79"/>
    <mergeCell ref="K79:M79"/>
    <mergeCell ref="I80:J80"/>
    <mergeCell ref="K80:M80"/>
    <mergeCell ref="I81:J81"/>
    <mergeCell ref="K81:M81"/>
    <mergeCell ref="I73:J73"/>
    <mergeCell ref="K73:M73"/>
    <mergeCell ref="I74:J74"/>
    <mergeCell ref="K74:M74"/>
    <mergeCell ref="I75:J75"/>
    <mergeCell ref="K75:M75"/>
    <mergeCell ref="I85:J85"/>
    <mergeCell ref="K85:M85"/>
    <mergeCell ref="I86:J86"/>
    <mergeCell ref="K86:M86"/>
    <mergeCell ref="I90:J90"/>
    <mergeCell ref="K90:M90"/>
    <mergeCell ref="I82:J82"/>
    <mergeCell ref="K82:M82"/>
    <mergeCell ref="I83:J83"/>
    <mergeCell ref="K83:M83"/>
    <mergeCell ref="I84:J84"/>
    <mergeCell ref="K84:M84"/>
    <mergeCell ref="I94:J94"/>
    <mergeCell ref="K94:M94"/>
    <mergeCell ref="I95:J95"/>
    <mergeCell ref="K95:M95"/>
    <mergeCell ref="I99:J99"/>
    <mergeCell ref="K99:M99"/>
    <mergeCell ref="I91:J91"/>
    <mergeCell ref="K91:M91"/>
    <mergeCell ref="I92:J92"/>
    <mergeCell ref="K92:M92"/>
    <mergeCell ref="I93:J93"/>
    <mergeCell ref="K93:M93"/>
    <mergeCell ref="I106:J106"/>
    <mergeCell ref="K106:M106"/>
    <mergeCell ref="I107:J107"/>
    <mergeCell ref="K107:M107"/>
    <mergeCell ref="I108:J108"/>
    <mergeCell ref="K108:M108"/>
    <mergeCell ref="I100:J100"/>
    <mergeCell ref="K100:M100"/>
    <mergeCell ref="I101:J101"/>
    <mergeCell ref="K101:M101"/>
    <mergeCell ref="I105:J105"/>
    <mergeCell ref="K105:M105"/>
    <mergeCell ref="I115:J115"/>
    <mergeCell ref="K115:M115"/>
    <mergeCell ref="I116:J116"/>
    <mergeCell ref="K116:M116"/>
    <mergeCell ref="I120:J120"/>
    <mergeCell ref="K120:M120"/>
    <mergeCell ref="I109:J109"/>
    <mergeCell ref="K109:M109"/>
    <mergeCell ref="I110:J110"/>
    <mergeCell ref="K110:M110"/>
    <mergeCell ref="I111:J111"/>
    <mergeCell ref="K111:M111"/>
    <mergeCell ref="I124:J124"/>
    <mergeCell ref="K124:M124"/>
    <mergeCell ref="I125:J125"/>
    <mergeCell ref="K125:M125"/>
    <mergeCell ref="I126:J126"/>
    <mergeCell ref="K126:M126"/>
    <mergeCell ref="I121:J121"/>
    <mergeCell ref="K121:M121"/>
    <mergeCell ref="I122:J122"/>
    <mergeCell ref="K122:M122"/>
    <mergeCell ref="I123:J123"/>
    <mergeCell ref="K123:M123"/>
    <mergeCell ref="I133:J133"/>
    <mergeCell ref="K133:M133"/>
    <mergeCell ref="I134:J134"/>
    <mergeCell ref="K134:M134"/>
    <mergeCell ref="I135:J135"/>
    <mergeCell ref="K135:M135"/>
    <mergeCell ref="I127:J127"/>
    <mergeCell ref="K127:M127"/>
    <mergeCell ref="I131:J131"/>
    <mergeCell ref="K131:M131"/>
    <mergeCell ref="I132:J132"/>
    <mergeCell ref="K132:M132"/>
    <mergeCell ref="I145:J145"/>
    <mergeCell ref="K145:M145"/>
    <mergeCell ref="I146:J146"/>
    <mergeCell ref="K146:M146"/>
    <mergeCell ref="I150:J150"/>
    <mergeCell ref="K150:M150"/>
    <mergeCell ref="I139:J139"/>
    <mergeCell ref="K139:M139"/>
    <mergeCell ref="I140:J140"/>
    <mergeCell ref="K140:M140"/>
    <mergeCell ref="I141:J141"/>
    <mergeCell ref="K141:M141"/>
    <mergeCell ref="I157:J157"/>
    <mergeCell ref="K157:M157"/>
    <mergeCell ref="I161:J161"/>
    <mergeCell ref="K161:M161"/>
    <mergeCell ref="I162:J162"/>
    <mergeCell ref="K162:M162"/>
    <mergeCell ref="I151:J151"/>
    <mergeCell ref="K151:M151"/>
    <mergeCell ref="I152:J152"/>
    <mergeCell ref="K152:M152"/>
    <mergeCell ref="I156:J156"/>
    <mergeCell ref="K156:M156"/>
    <mergeCell ref="I172:J172"/>
    <mergeCell ref="K172:M172"/>
    <mergeCell ref="I173:J173"/>
    <mergeCell ref="K173:M173"/>
    <mergeCell ref="I177:J177"/>
    <mergeCell ref="K177:M177"/>
    <mergeCell ref="I166:J166"/>
    <mergeCell ref="K166:M166"/>
    <mergeCell ref="I167:J167"/>
    <mergeCell ref="K167:M167"/>
    <mergeCell ref="I171:J171"/>
    <mergeCell ref="K171:M171"/>
    <mergeCell ref="I192:J192"/>
    <mergeCell ref="K192:M192"/>
    <mergeCell ref="I184:J184"/>
    <mergeCell ref="K184:M184"/>
    <mergeCell ref="I188:J188"/>
    <mergeCell ref="K188:M188"/>
    <mergeCell ref="I189:J189"/>
    <mergeCell ref="K189:M189"/>
    <mergeCell ref="I178:J178"/>
    <mergeCell ref="K178:M178"/>
    <mergeCell ref="I179:J179"/>
    <mergeCell ref="K179:M179"/>
    <mergeCell ref="I183:J183"/>
    <mergeCell ref="K183:M1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ITA</vt:lpstr>
      <vt:lpstr>ENG</vt:lpstr>
      <vt:lpstr>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sole-</dc:creator>
  <cp:lastModifiedBy>Giuseppe Pagano</cp:lastModifiedBy>
  <cp:lastPrinted>2021-11-27T19:23:29Z</cp:lastPrinted>
  <dcterms:created xsi:type="dcterms:W3CDTF">2020-11-12T11:04:21Z</dcterms:created>
  <dcterms:modified xsi:type="dcterms:W3CDTF">2025-11-14T11:11:59Z</dcterms:modified>
</cp:coreProperties>
</file>